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Comite &amp; RACI" sheetId="2" state="visible" r:id="rId4"/>
    <sheet name="Gates" sheetId="3" state="visible" r:id="rId5"/>
    <sheet name="Curriculum" sheetId="4" state="visible" r:id="rId6"/>
    <sheet name="Banque exercices" sheetId="5" state="visible" r:id="rId7"/>
    <sheet name="Exigences" sheetId="6" state="visible" r:id="rId8"/>
    <sheet name="Benchmark" sheetId="7" state="visible" r:id="rId9"/>
    <sheet name="Backlog amelioration" sheetId="8" state="visible" r:id="rId10"/>
    <sheet name="Revue G4" sheetId="9" state="visible" r:id="rId11"/>
    <sheet name="Risqu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<sst xmlns="http://schemas.openxmlformats.org/spreadsheetml/2006/main" count="2105" uniqueCount="1111">
  <si>
    <t xml:space="preserve">KODO — Curriculum, Benchmark &amp; Improvement Backlog</t>
  </si>
  <si>
    <t xml:space="preserve">Companion workbook to 01_KODO_Cahier_des_Charges_v1.0.docx — Committee issue for Gate G1, 18 Sep 2026</t>
  </si>
  <si>
    <t xml:space="preserve">Sheet</t>
  </si>
  <si>
    <t xml:space="preserve">What it holds and how to use it</t>
  </si>
  <si>
    <t xml:space="preserve">Comite &amp; RACI</t>
  </si>
  <si>
    <t xml:space="preserve">The 14 committee seats, what each owns, and the RACI across the six gates.</t>
  </si>
  <si>
    <t xml:space="preserve">Gates</t>
  </si>
  <si>
    <t xml:space="preserve">Gate register G0-G5: exit criteria, owner, planned date, status. Update Status only.</t>
  </si>
  <si>
    <t xml:space="preserve">Curriculum</t>
  </si>
  <si>
    <t xml:space="preserve">The concept ledger: 46 concepts across 12 worlds, prerequisites, item volume, misconceptions, source trace.</t>
  </si>
  <si>
    <t xml:space="preserve">Banque exercices</t>
  </si>
  <si>
    <t xml:space="preserve">Exercise bank sizing and authoring burn-up. Totals are formulas; edit only the white input cells.</t>
  </si>
  <si>
    <t xml:space="preserve">Exigences</t>
  </si>
  <si>
    <t xml:space="preserve">Requirement register. Every FR/NFR from the cahier des charges, with source tag, priority, verification method and gate.</t>
  </si>
  <si>
    <t xml:space="preserve">Benchmark</t>
  </si>
  <si>
    <t xml:space="preserve">Gate G5 market challenge. 15 products x 20 criteria. Competitor scores are COMMITTEE ESTIMATES pending hands-on evidence.</t>
  </si>
  <si>
    <t xml:space="preserve">Backlog amelioration</t>
  </si>
  <si>
    <t xml:space="preserve">Improvement backlog fed by G4, G5, child panel and item telemetry. RICE-scored with formulas.</t>
  </si>
  <si>
    <t xml:space="preserve">Revue G4</t>
  </si>
  <si>
    <t xml:space="preserve">Deep-review template: one row per finding, six review passes, severity scale.</t>
  </si>
  <si>
    <t xml:space="preserve">Risques</t>
  </si>
  <si>
    <t xml:space="preserve">Risk register with response and owner.</t>
  </si>
  <si>
    <t xml:space="preserve">BLUE text = an input you are expected to change. BLACK text = a formula or a committee statement. YELLOW fill = a decision the Product Owner must make.</t>
  </si>
  <si>
    <t xml:space="preserve">Traceability</t>
  </si>
  <si>
    <t xml:space="preserve">[KT §x] = KTurtle manual, section x. [SC p.x] = Scratch starter guide, page x. [COM] = committee decision, not in either source.</t>
  </si>
  <si>
    <t xml:space="preserve">Warning on scores</t>
  </si>
  <si>
    <t xml:space="preserve">Every score on the Benchmark sheet is provisional until a committee pair completes the hands-on protocol of §15.4 and records the evidence link.</t>
  </si>
  <si>
    <t xml:space="preserve">Committee composition and RACI</t>
  </si>
  <si>
    <t xml:space="preserve">R = does the work · A = accountable · C = consulted · I = informed. One A per gate column.</t>
  </si>
  <si>
    <t xml:space="preserve">#</t>
  </si>
  <si>
    <t xml:space="preserve">Seat</t>
  </si>
  <si>
    <t xml:space="preserve">Owns</t>
  </si>
  <si>
    <t xml:space="preserve">G0 Mandate</t>
  </si>
  <si>
    <t xml:space="preserve">G1 Cahier des charges</t>
  </si>
  <si>
    <t xml:space="preserve">G2 Module prompts</t>
  </si>
  <si>
    <t xml:space="preserve">G3 Build</t>
  </si>
  <si>
    <t xml:space="preserve">G4 Deep review</t>
  </si>
  <si>
    <t xml:space="preserve">G5 Market challenge</t>
  </si>
  <si>
    <t xml:space="preserve">Product Owner</t>
  </si>
  <si>
    <t xml:space="preserve">Scope, budget, release; final sign-off</t>
  </si>
  <si>
    <t xml:space="preserve">A</t>
  </si>
  <si>
    <t xml:space="preserve">C</t>
  </si>
  <si>
    <t xml:space="preserve">I</t>
  </si>
  <si>
    <t xml:space="preserve">Committee Chair / Programme Director</t>
  </si>
  <si>
    <t xml:space="preserve">Agenda, minutes, dissent log, gate register</t>
  </si>
  <si>
    <t xml:space="preserve">R</t>
  </si>
  <si>
    <t xml:space="preserve">Pedagogical Lead (CS education)</t>
  </si>
  <si>
    <t xml:space="preserve">The learning model (§4) — blocking veto</t>
  </si>
  <si>
    <t xml:space="preserve">Curriculum &amp; Assessment Designer</t>
  </si>
  <si>
    <t xml:space="preserve">Concept ledger and exercise bank (§5,§6)</t>
  </si>
  <si>
    <t xml:space="preserve">Child Development Psychologist</t>
  </si>
  <si>
    <t xml:space="preserve">Age-appropriateness veto</t>
  </si>
  <si>
    <t xml:space="preserve">Game Designer (ethical engagement)</t>
  </si>
  <si>
    <t xml:space="preserve">Motivation system (§10)</t>
  </si>
  <si>
    <t xml:space="preserve">Children's UX/UI + Accessibility</t>
  </si>
  <si>
    <t xml:space="preserve">Design system (§9), WCAG</t>
  </si>
  <si>
    <t xml:space="preserve">Language &amp; Runtime Architect</t>
  </si>
  <si>
    <t xml:space="preserve">Modules M1-M4</t>
  </si>
  <si>
    <t xml:space="preserve">Cross-platform Engineering Lead</t>
  </si>
  <si>
    <t xml:space="preserve">Architecture (§11), device matrix</t>
  </si>
  <si>
    <t xml:space="preserve">Backend, Data &amp; Learning Analytics</t>
  </si>
  <si>
    <t xml:space="preserve">M13, M17, item health telemetry</t>
  </si>
  <si>
    <t xml:space="preserve">Localisation &amp; Culture Lead</t>
  </si>
  <si>
    <t xml:space="preserve">§15 localisation, content review</t>
  </si>
  <si>
    <t xml:space="preserve">Teacher &amp; Parent Representative</t>
  </si>
  <si>
    <t xml:space="preserve">M11, M12, classroom reality</t>
  </si>
  <si>
    <t xml:space="preserve">Child Safety, Privacy &amp; Compliance</t>
  </si>
  <si>
    <t xml:space="preserve">§13 — blocking veto on every gate</t>
  </si>
  <si>
    <t xml:space="preserve">QA &amp; Release Manager</t>
  </si>
  <si>
    <t xml:space="preserve">§14 test strategy, defect taxonomy</t>
  </si>
  <si>
    <t xml:space="preserve">Obs</t>
  </si>
  <si>
    <t xml:space="preserve">Children's panel (6 children, 8-11)</t>
  </si>
  <si>
    <t xml:space="preserve">Voice, no vote — evidence for pass 3 of G4</t>
  </si>
  <si>
    <t xml:space="preserve">Classroom pilot teacher</t>
  </si>
  <si>
    <t xml:space="preserve">Voice, no vote — classroom evidence</t>
  </si>
  <si>
    <t xml:space="preserve">3L</t>
  </si>
  <si>
    <t xml:space="preserve">Independent review (external)</t>
  </si>
  <si>
    <t xml:space="preserve">External CS-education academic + child-safety auditor</t>
  </si>
  <si>
    <t xml:space="preserve">Decision rule: consent, not consensus. A proposal carries unless a seat records a reasoned, domain-relevant objection in the dissent log.</t>
  </si>
  <si>
    <t xml:space="preserve">Gate register</t>
  </si>
  <si>
    <t xml:space="preserve">Update the Status and Actual date columns only (blue).</t>
  </si>
  <si>
    <t xml:space="preserve">Gate</t>
  </si>
  <si>
    <t xml:space="preserve">Name</t>
  </si>
  <si>
    <t xml:space="preserve">Exit criteria</t>
  </si>
  <si>
    <t xml:space="preserve">Accountable</t>
  </si>
  <si>
    <t xml:space="preserve">Planned week</t>
  </si>
  <si>
    <t xml:space="preserve">Status</t>
  </si>
  <si>
    <t xml:space="preserve">Evidence link</t>
  </si>
  <si>
    <t xml:space="preserve">G0</t>
  </si>
  <si>
    <t xml:space="preserve">Mandate</t>
  </si>
  <si>
    <t xml:space="preserve">Committee seated; both source documents ingested; glossary agreed</t>
  </si>
  <si>
    <t xml:space="preserve">Chair</t>
  </si>
  <si>
    <t xml:space="preserve">W1</t>
  </si>
  <si>
    <t xml:space="preserve">Done</t>
  </si>
  <si>
    <t xml:space="preserve">G1</t>
  </si>
  <si>
    <t xml:space="preserve">Cahier des charges</t>
  </si>
  <si>
    <t xml:space="preserve">Spec accepted; every FR tagged and traceable; concept ledger complete; Annex E answered</t>
  </si>
  <si>
    <t xml:space="preserve">W4</t>
  </si>
  <si>
    <t xml:space="preserve">In review</t>
  </si>
  <si>
    <t xml:space="preserve">G2</t>
  </si>
  <si>
    <t xml:space="preserve">Module prompts</t>
  </si>
  <si>
    <t xml:space="preserve">18 deployment prompts reviewed; each has inputs, outputs, acceptance tests, adjacent-module interfaces</t>
  </si>
  <si>
    <t xml:space="preserve">Runtime + Eng leads</t>
  </si>
  <si>
    <t xml:space="preserve">W5</t>
  </si>
  <si>
    <t xml:space="preserve">Not started</t>
  </si>
  <si>
    <t xml:space="preserve">G3</t>
  </si>
  <si>
    <t xml:space="preserve">Build &amp; integrate</t>
  </si>
  <si>
    <t xml:space="preserve">Vertical slice: one full world, blocks + text, graded, offline, on the reference device</t>
  </si>
  <si>
    <t xml:space="preserve">QA &amp; Release</t>
  </si>
  <si>
    <t xml:space="preserve">W12</t>
  </si>
  <si>
    <t xml:space="preserve">G4</t>
  </si>
  <si>
    <t xml:space="preserve">Deep review</t>
  </si>
  <si>
    <t xml:space="preserve">Six review passes complete; zero S1; zero open safety finding; conformance matrix signed</t>
  </si>
  <si>
    <t xml:space="preserve">Safety + QA</t>
  </si>
  <si>
    <t xml:space="preserve">W26 / W40 / W52</t>
  </si>
  <si>
    <t xml:space="preserve">G5</t>
  </si>
  <si>
    <t xml:space="preserve">Market challenge</t>
  </si>
  <si>
    <t xml:space="preserve">15 benchmark products scored with evidence; improvement backlog raised and re-planned</t>
  </si>
  <si>
    <t xml:space="preserve">Chair + PO</t>
  </si>
  <si>
    <t xml:space="preserve">W27 / W41 / W53</t>
  </si>
  <si>
    <t xml:space="preserve">Concept ledger — 12 worlds, 46 concepts</t>
  </si>
  <si>
    <t xml:space="preserve">Items/concept is the Gate G1 minimum commitment. Item types per §6.1 (T1-T9). Source tag per the traceability convention.</t>
  </si>
  <si>
    <t xml:space="preserve">World</t>
  </si>
  <si>
    <t xml:space="preserve">World name (FR)</t>
  </si>
  <si>
    <t xml:space="preserve">Concept ID</t>
  </si>
  <si>
    <t xml:space="preserve">Concept (FR)</t>
  </si>
  <si>
    <t xml:space="preserve">Concept (EN)</t>
  </si>
  <si>
    <t xml:space="preserve">Prereq</t>
  </si>
  <si>
    <t xml:space="preserve">Band</t>
  </si>
  <si>
    <t xml:space="preserve">Items (min)</t>
  </si>
  <si>
    <t xml:space="preserve">Item types</t>
  </si>
  <si>
    <t xml:space="preserve">Key misconception to break</t>
  </si>
  <si>
    <t xml:space="preserve">Source</t>
  </si>
  <si>
    <t xml:space="preserve">Bonjour Tika</t>
  </si>
  <si>
    <t xml:space="preserve">C0.1</t>
  </si>
  <si>
    <t xml:space="preserve">Lancer un programme</t>
  </si>
  <si>
    <t xml:space="preserve">Run a program</t>
  </si>
  <si>
    <t xml:space="preserve">-</t>
  </si>
  <si>
    <t xml:space="preserve">8-9</t>
  </si>
  <si>
    <t xml:space="preserve">T1,T3,T5,T6</t>
  </si>
  <si>
    <t xml:space="preserve">the program runs only if I press something magic</t>
  </si>
  <si>
    <t xml:space="preserve">[SC p.3]</t>
  </si>
  <si>
    <t xml:space="preserve">C0.2</t>
  </si>
  <si>
    <t xml:space="preserve">Séquence</t>
  </si>
  <si>
    <t xml:space="preserve">Sequence</t>
  </si>
  <si>
    <t xml:space="preserve">T1,T4,T5,T6,T3</t>
  </si>
  <si>
    <t xml:space="preserve">order does not matter</t>
  </si>
  <si>
    <t xml:space="preserve">C0.3</t>
  </si>
  <si>
    <t xml:space="preserve">Ordre des instructions</t>
  </si>
  <si>
    <t xml:space="preserve">Instruction order</t>
  </si>
  <si>
    <t xml:space="preserve">T5,T2,T3,T6</t>
  </si>
  <si>
    <t xml:space="preserve">blocks run all at once</t>
  </si>
  <si>
    <t xml:space="preserve">[SC p.5]</t>
  </si>
  <si>
    <t xml:space="preserve">C0.4</t>
  </si>
  <si>
    <t xml:space="preserve">Annuler / recommencer</t>
  </si>
  <si>
    <t xml:space="preserve">Undo / reset</t>
  </si>
  <si>
    <t xml:space="preserve">T1,T4,T6,T2</t>
  </si>
  <si>
    <t xml:space="preserve">a mistake ruins the project</t>
  </si>
  <si>
    <t xml:space="preserve">[KT §2.5.2]</t>
  </si>
  <si>
    <t xml:space="preserve">La tortue bouge</t>
  </si>
  <si>
    <t xml:space="preserve">C1.1</t>
  </si>
  <si>
    <t xml:space="preserve">Avance et recule</t>
  </si>
  <si>
    <t xml:space="preserve">Forward / back</t>
  </si>
  <si>
    <t xml:space="preserve">T1,T3,T4,T5,T6</t>
  </si>
  <si>
    <t xml:space="preserve">recule turns around first</t>
  </si>
  <si>
    <t xml:space="preserve">[KT §4.3.1]</t>
  </si>
  <si>
    <t xml:space="preserve">C1.2</t>
  </si>
  <si>
    <t xml:space="preserve">Tourner à gauche / à droite</t>
  </si>
  <si>
    <t xml:space="preserve">Turn left / right</t>
  </si>
  <si>
    <t xml:space="preserve">T1,T2,T3,T4,T8</t>
  </si>
  <si>
    <t xml:space="preserve">tournegauche moves the turtle</t>
  </si>
  <si>
    <t xml:space="preserve">C1.3</t>
  </si>
  <si>
    <t xml:space="preserve">Les degrés</t>
  </si>
  <si>
    <t xml:space="preserve">Degrees</t>
  </si>
  <si>
    <t xml:space="preserve">T3,T4,T6,T8,T1</t>
  </si>
  <si>
    <t xml:space="preserve">90 degrees is a half turn</t>
  </si>
  <si>
    <t xml:space="preserve">[KT §5 glossaire]</t>
  </si>
  <si>
    <t xml:space="preserve">C1.4</t>
  </si>
  <si>
    <t xml:space="preserve">Le crayon dessine</t>
  </si>
  <si>
    <t xml:space="preserve">The pen draws</t>
  </si>
  <si>
    <t xml:space="preserve">T1,T2,T3,T6</t>
  </si>
  <si>
    <t xml:space="preserve">the turtle always draws</t>
  </si>
  <si>
    <t xml:space="preserve">[KT §4.3.3]</t>
  </si>
  <si>
    <t xml:space="preserve">C1.5</t>
  </si>
  <si>
    <t xml:space="preserve">Nombres négatifs</t>
  </si>
  <si>
    <t xml:space="preserve">Negative numbers</t>
  </si>
  <si>
    <t xml:space="preserve">9-10</t>
  </si>
  <si>
    <t xml:space="preserve">T1,T3,T4,T8</t>
  </si>
  <si>
    <t xml:space="preserve">avance -10 is an error</t>
  </si>
  <si>
    <t xml:space="preserve">Encore et encore</t>
  </si>
  <si>
    <t xml:space="preserve">C2.1</t>
  </si>
  <si>
    <t xml:space="preserve">Répète n fois</t>
  </si>
  <si>
    <t xml:space="preserve">Repeat n times</t>
  </si>
  <si>
    <t xml:space="preserve">T1,T2,T3,T4,T5,T7</t>
  </si>
  <si>
    <t xml:space="preserve">repeat 4 always means 4 sides</t>
  </si>
  <si>
    <t xml:space="preserve">[SC p.6] [KT §4.5.5]</t>
  </si>
  <si>
    <t xml:space="preserve">C2.2</t>
  </si>
  <si>
    <t xml:space="preserve">Le corps de la boucle</t>
  </si>
  <si>
    <t xml:space="preserve">Loop body</t>
  </si>
  <si>
    <t xml:space="preserve">T2,T3,T4,T5,T8</t>
  </si>
  <si>
    <t xml:space="preserve">only the first line repeats</t>
  </si>
  <si>
    <t xml:space="preserve">[SC p.6]</t>
  </si>
  <si>
    <t xml:space="preserve">C2.3</t>
  </si>
  <si>
    <t xml:space="preserve">Boucles imbriquées</t>
  </si>
  <si>
    <t xml:space="preserve">Nested loops</t>
  </si>
  <si>
    <t xml:space="preserve">T1,T2,T3,T7,T9</t>
  </si>
  <si>
    <t xml:space="preserve">the inner loop runs once in total</t>
  </si>
  <si>
    <t xml:space="preserve">[KT §2 exemple rosace]</t>
  </si>
  <si>
    <t xml:space="preserve">C2.4</t>
  </si>
  <si>
    <t xml:space="preserve">Boucle ou copier-coller ?</t>
  </si>
  <si>
    <t xml:space="preserve">Loop vs copy-paste</t>
  </si>
  <si>
    <t xml:space="preserve">T7,T6,T8,T5</t>
  </si>
  <si>
    <t xml:space="preserve">a longer program is a better program</t>
  </si>
  <si>
    <t xml:space="preserve">[COM]</t>
  </si>
  <si>
    <t xml:space="preserve">Couleurs et crayon</t>
  </si>
  <si>
    <t xml:space="preserve">C3.1</t>
  </si>
  <si>
    <t xml:space="preserve">Lève / baisse le crayon</t>
  </si>
  <si>
    <t xml:space="preserve">Pen up / pen down</t>
  </si>
  <si>
    <t xml:space="preserve">T1,T2,T3,T4</t>
  </si>
  <si>
    <t xml:space="preserve">va draws a line</t>
  </si>
  <si>
    <t xml:space="preserve">C3.2</t>
  </si>
  <si>
    <t xml:space="preserve">Largeur du crayon</t>
  </si>
  <si>
    <t xml:space="preserve">Pen width</t>
  </si>
  <si>
    <t xml:space="preserve">T1,T3,T4,T6</t>
  </si>
  <si>
    <t xml:space="preserve">width changes only the next line</t>
  </si>
  <si>
    <t xml:space="preserve">C3.3</t>
  </si>
  <si>
    <t xml:space="preserve">Couleur RVB du crayon</t>
  </si>
  <si>
    <t xml:space="preserve">Pen colour RGB</t>
  </si>
  <si>
    <t xml:space="preserve">T1,T3,T4,T6,T8</t>
  </si>
  <si>
    <t xml:space="preserve">RGB values are percentages</t>
  </si>
  <si>
    <t xml:space="preserve">[KT §4.3.3, §5 table 5.2]</t>
  </si>
  <si>
    <t xml:space="preserve">C3.4</t>
  </si>
  <si>
    <t xml:space="preserve">Couleur et taille du canevas</t>
  </si>
  <si>
    <t xml:space="preserve">Canvas colour and size</t>
  </si>
  <si>
    <t xml:space="preserve">the canvas is the screen</t>
  </si>
  <si>
    <t xml:space="preserve">[KT §4.3.4]</t>
  </si>
  <si>
    <t xml:space="preserve">C3.5</t>
  </si>
  <si>
    <t xml:space="preserve">Nettoie / initialise</t>
  </si>
  <si>
    <t xml:space="preserve">Clear / reset</t>
  </si>
  <si>
    <t xml:space="preserve">T2,T3,T6,T8</t>
  </si>
  <si>
    <t xml:space="preserve">nettoietout also moves the turtle home</t>
  </si>
  <si>
    <t xml:space="preserve">[KT §4.3.5]</t>
  </si>
  <si>
    <t xml:space="preserve">Le plan</t>
  </si>
  <si>
    <t xml:space="preserve">C4.1</t>
  </si>
  <si>
    <t xml:space="preserve">Aller à x, y</t>
  </si>
  <si>
    <t xml:space="preserve">Go to x, y</t>
  </si>
  <si>
    <t xml:space="preserve">T1,T2,T3,T4,T5</t>
  </si>
  <si>
    <t xml:space="preserve">x,y is counted from the turtle</t>
  </si>
  <si>
    <t xml:space="preserve">C4.2</t>
  </si>
  <si>
    <t xml:space="preserve">vax / vay</t>
  </si>
  <si>
    <t xml:space="preserve">Go x / go y</t>
  </si>
  <si>
    <t xml:space="preserve">vax also changes y</t>
  </si>
  <si>
    <t xml:space="preserve">C4.3</t>
  </si>
  <si>
    <t xml:space="preserve">positionx / positiony</t>
  </si>
  <si>
    <t xml:space="preserve">Position x / y</t>
  </si>
  <si>
    <t xml:space="preserve">10-11</t>
  </si>
  <si>
    <t xml:space="preserve">T4,T6,T8,T1</t>
  </si>
  <si>
    <t xml:space="preserve">position is a command, not a value</t>
  </si>
  <si>
    <t xml:space="preserve">[KT §4.3.2]</t>
  </si>
  <si>
    <t xml:space="preserve">C4.4</t>
  </si>
  <si>
    <t xml:space="preserve">Direction absolue</t>
  </si>
  <si>
    <t xml:space="preserve">Absolute heading</t>
  </si>
  <si>
    <t xml:space="preserve">T1,T2,T3,T8,T6</t>
  </si>
  <si>
    <t xml:space="preserve">direction and tournedroite are the same</t>
  </si>
  <si>
    <t xml:space="preserve">[KT §3.1.2]</t>
  </si>
  <si>
    <t xml:space="preserve">C4.5</t>
  </si>
  <si>
    <t xml:space="preserve">Centre</t>
  </si>
  <si>
    <t xml:space="preserve">centre erases the drawing</t>
  </si>
  <si>
    <t xml:space="preserve">Quand...</t>
  </si>
  <si>
    <t xml:space="preserve">C5.1</t>
  </si>
  <si>
    <t xml:space="preserve">Quand le drapeau vert est cliqué</t>
  </si>
  <si>
    <t xml:space="preserve">Green flag event</t>
  </si>
  <si>
    <t xml:space="preserve">T1,T3,T4,T6,T9</t>
  </si>
  <si>
    <t xml:space="preserve">the script needs me to click the blocks</t>
  </si>
  <si>
    <t xml:space="preserve">[SC p.8]</t>
  </si>
  <si>
    <t xml:space="preserve">C5.2</t>
  </si>
  <si>
    <t xml:space="preserve">Quand une touche est pressée</t>
  </si>
  <si>
    <t xml:space="preserve">Key pressed event</t>
  </si>
  <si>
    <t xml:space="preserve">T1,T3,T4,T9,T2</t>
  </si>
  <si>
    <t xml:space="preserve">the key works only once</t>
  </si>
  <si>
    <t xml:space="preserve">[SC p.10]</t>
  </si>
  <si>
    <t xml:space="preserve">C5.3</t>
  </si>
  <si>
    <t xml:space="preserve">Quand on clique sur le lutin</t>
  </si>
  <si>
    <t xml:space="preserve">Sprite clicked</t>
  </si>
  <si>
    <t xml:space="preserve">T1,T4,T6,T9</t>
  </si>
  <si>
    <t xml:space="preserve">any click anywhere triggers it</t>
  </si>
  <si>
    <t xml:space="preserve">C5.4</t>
  </si>
  <si>
    <t xml:space="preserve">Deux scripts en même temps</t>
  </si>
  <si>
    <t xml:space="preserve">Two scripts at once</t>
  </si>
  <si>
    <t xml:space="preserve">T3,T6,T8,T9,T2</t>
  </si>
  <si>
    <t xml:space="preserve">programs can only do one thing at a time</t>
  </si>
  <si>
    <t xml:space="preserve">[SC p.8-10]</t>
  </si>
  <si>
    <t xml:space="preserve">Mes variables</t>
  </si>
  <si>
    <t xml:space="preserve">C6.1</t>
  </si>
  <si>
    <t xml:space="preserve">Une variable, une boîte</t>
  </si>
  <si>
    <t xml:space="preserve">A variable is a box</t>
  </si>
  <si>
    <t xml:space="preserve">the variable holds the whole program</t>
  </si>
  <si>
    <t xml:space="preserve">[KT §4.4]</t>
  </si>
  <si>
    <t xml:space="preserve">C6.2</t>
  </si>
  <si>
    <t xml:space="preserve">Affecter une valeur</t>
  </si>
  <si>
    <t xml:space="preserve">Assignment</t>
  </si>
  <si>
    <t xml:space="preserve">T2,T3,T4,T6,T8</t>
  </si>
  <si>
    <t xml:space="preserve">$x = $x/3 is a false equation</t>
  </si>
  <si>
    <t xml:space="preserve">C6.3</t>
  </si>
  <si>
    <t xml:space="preserve">Opérateurs mathématiques</t>
  </si>
  <si>
    <t xml:space="preserve">Maths operators</t>
  </si>
  <si>
    <t xml:space="preserve">T3,T4,T6,T7,T1</t>
  </si>
  <si>
    <t xml:space="preserve">operations always run left to right</t>
  </si>
  <si>
    <t xml:space="preserve">[KT §4.2.1]</t>
  </si>
  <si>
    <t xml:space="preserve">C6.4</t>
  </si>
  <si>
    <t xml:space="preserve">Utiliser l'inspecteur</t>
  </si>
  <si>
    <t xml:space="preserve">Using the inspector</t>
  </si>
  <si>
    <t xml:space="preserve">T6,T8,T2,T3</t>
  </si>
  <si>
    <t xml:space="preserve">I cannot see what is inside a variable</t>
  </si>
  <si>
    <t xml:space="preserve">[KT §2.3, §4.4]</t>
  </si>
  <si>
    <t xml:space="preserve">C6.5</t>
  </si>
  <si>
    <t xml:space="preserve">Hasard</t>
  </si>
  <si>
    <t xml:space="preserve">Random</t>
  </si>
  <si>
    <t xml:space="preserve">T1,T3,T6,T9,T8</t>
  </si>
  <si>
    <t xml:space="preserve">random means unpredictable therefore untestable</t>
  </si>
  <si>
    <t xml:space="preserve">[KT §4.3.8]</t>
  </si>
  <si>
    <t xml:space="preserve">Si... sinon</t>
  </si>
  <si>
    <t xml:space="preserve">C7.1</t>
  </si>
  <si>
    <t xml:space="preserve">Vrai / faux</t>
  </si>
  <si>
    <t xml:space="preserve">Booleans</t>
  </si>
  <si>
    <t xml:space="preserve">T3,T6,T8,T4</t>
  </si>
  <si>
    <t xml:space="preserve">true/false are just words</t>
  </si>
  <si>
    <t xml:space="preserve">[KT §4.1.5]</t>
  </si>
  <si>
    <t xml:space="preserve">C7.2</t>
  </si>
  <si>
    <t xml:space="preserve">Comparer</t>
  </si>
  <si>
    <t xml:space="preserve">Comparison operators</t>
  </si>
  <si>
    <t xml:space="preserve">the single = and the double == are the same</t>
  </si>
  <si>
    <t xml:space="preserve">[KT §4.2.3]</t>
  </si>
  <si>
    <t xml:space="preserve">C7.3</t>
  </si>
  <si>
    <t xml:space="preserve">Si</t>
  </si>
  <si>
    <t xml:space="preserve">If</t>
  </si>
  <si>
    <t xml:space="preserve">T1,T2,T3,T4,T5,T9</t>
  </si>
  <si>
    <t xml:space="preserve">the if block runs every time</t>
  </si>
  <si>
    <t xml:space="preserve">[KT §4.5.2]</t>
  </si>
  <si>
    <t xml:space="preserve">C7.4</t>
  </si>
  <si>
    <t xml:space="preserve">Sinon</t>
  </si>
  <si>
    <t xml:space="preserve">Else</t>
  </si>
  <si>
    <t xml:space="preserve">else runs as well as if</t>
  </si>
  <si>
    <t xml:space="preserve">[KT §4.5.3]</t>
  </si>
  <si>
    <t xml:space="preserve">C7.5</t>
  </si>
  <si>
    <t xml:space="preserve">Et / ou / non</t>
  </si>
  <si>
    <t xml:space="preserve">And / or / not</t>
  </si>
  <si>
    <t xml:space="preserve">or means both must be true</t>
  </si>
  <si>
    <t xml:space="preserve">[KT §4.2.2]</t>
  </si>
  <si>
    <t xml:space="preserve">Tant que</t>
  </si>
  <si>
    <t xml:space="preserve">C8.1</t>
  </si>
  <si>
    <t xml:space="preserve">While</t>
  </si>
  <si>
    <t xml:space="preserve">T1,T2,T3,T4,T9</t>
  </si>
  <si>
    <t xml:space="preserve">while and if behave the same</t>
  </si>
  <si>
    <t xml:space="preserve">[KT §4.5.4]</t>
  </si>
  <si>
    <t xml:space="preserve">C8.2</t>
  </si>
  <si>
    <t xml:space="preserve">Arrêter la boucle</t>
  </si>
  <si>
    <t xml:space="preserve">Loop termination</t>
  </si>
  <si>
    <t xml:space="preserve">a loop always ends by itself</t>
  </si>
  <si>
    <t xml:space="preserve">[KT §4.5.4, §4.5.7]</t>
  </si>
  <si>
    <t xml:space="preserve">C8.3</t>
  </si>
  <si>
    <t xml:space="preserve">Capteurs</t>
  </si>
  <si>
    <t xml:space="preserve">Sensing</t>
  </si>
  <si>
    <t xml:space="preserve">T1,T4,T6,T9,T3</t>
  </si>
  <si>
    <t xml:space="preserve">touching is checked only once</t>
  </si>
  <si>
    <t xml:space="preserve">C8.4</t>
  </si>
  <si>
    <t xml:space="preserve">Coupure</t>
  </si>
  <si>
    <t xml:space="preserve">Break</t>
  </si>
  <si>
    <t xml:space="preserve">T2,T3,T6,T4</t>
  </si>
  <si>
    <t xml:space="preserve">break ends the whole program</t>
  </si>
  <si>
    <t xml:space="preserve">[KT §4.5.7]</t>
  </si>
  <si>
    <t xml:space="preserve">Mes propres blocs</t>
  </si>
  <si>
    <t xml:space="preserve">C9.1</t>
  </si>
  <si>
    <t xml:space="preserve">Apprends un nouveau bloc</t>
  </si>
  <si>
    <t xml:space="preserve">Define a block</t>
  </si>
  <si>
    <t xml:space="preserve">T1,T4,T5,T7,T9</t>
  </si>
  <si>
    <t xml:space="preserve">defining a block runs it</t>
  </si>
  <si>
    <t xml:space="preserve">[KT §4.6]</t>
  </si>
  <si>
    <t xml:space="preserve">C9.2</t>
  </si>
  <si>
    <t xml:space="preserve">Paramètres</t>
  </si>
  <si>
    <t xml:space="preserve">Parameters</t>
  </si>
  <si>
    <t xml:space="preserve">T1,T2,T4,T6,T9</t>
  </si>
  <si>
    <t xml:space="preserve">the parameter name is the value</t>
  </si>
  <si>
    <t xml:space="preserve">C9.3</t>
  </si>
  <si>
    <t xml:space="preserve">Retourne</t>
  </si>
  <si>
    <t xml:space="preserve">Return</t>
  </si>
  <si>
    <t xml:space="preserve">return prints the value</t>
  </si>
  <si>
    <t xml:space="preserve">C9.4</t>
  </si>
  <si>
    <t xml:space="preserve">Décomposer un problème</t>
  </si>
  <si>
    <t xml:space="preserve">Decomposition</t>
  </si>
  <si>
    <t xml:space="preserve">T7,T9,T5,T6</t>
  </si>
  <si>
    <t xml:space="preserve">a big program must be written in one piece</t>
  </si>
  <si>
    <t xml:space="preserve">Lutins, costumes, sons</t>
  </si>
  <si>
    <t xml:space="preserve">C10.1</t>
  </si>
  <si>
    <t xml:space="preserve">Un lutin est un objet</t>
  </si>
  <si>
    <t xml:space="preserve">A sprite is an object</t>
  </si>
  <si>
    <t xml:space="preserve">there can be only one character</t>
  </si>
  <si>
    <t xml:space="preserve">C10.2</t>
  </si>
  <si>
    <t xml:space="preserve">Costumes et animation</t>
  </si>
  <si>
    <t xml:space="preserve">Costumes and animation</t>
  </si>
  <si>
    <t xml:space="preserve">animation needs a video</t>
  </si>
  <si>
    <t xml:space="preserve">[SC p.11]</t>
  </si>
  <si>
    <t xml:space="preserve">C10.3</t>
  </si>
  <si>
    <t xml:space="preserve">Sons et tambours</t>
  </si>
  <si>
    <t xml:space="preserve">Sounds and drums</t>
  </si>
  <si>
    <t xml:space="preserve">the sound plays after the program ends</t>
  </si>
  <si>
    <t xml:space="preserve">[SC p.4, p.11]</t>
  </si>
  <si>
    <t xml:space="preserve">C10.4</t>
  </si>
  <si>
    <t xml:space="preserve">Arrière-plans</t>
  </si>
  <si>
    <t xml:space="preserve">Backdrops</t>
  </si>
  <si>
    <t xml:space="preserve">the backdrop is a sprite</t>
  </si>
  <si>
    <t xml:space="preserve">[SC p.9]</t>
  </si>
  <si>
    <t xml:space="preserve">C10.5</t>
  </si>
  <si>
    <t xml:space="preserve">Effets graphiques</t>
  </si>
  <si>
    <t xml:space="preserve">Graphic effects</t>
  </si>
  <si>
    <t xml:space="preserve">effects are permanent</t>
  </si>
  <si>
    <t xml:space="preserve">[SC p.7]</t>
  </si>
  <si>
    <t xml:space="preserve">Je passe au texte</t>
  </si>
  <si>
    <t xml:space="preserve">C11.1</t>
  </si>
  <si>
    <t xml:space="preserve">Écrire son programme</t>
  </si>
  <si>
    <t xml:space="preserve">Typing a program</t>
  </si>
  <si>
    <t xml:space="preserve">T1,T2,T4,T5,T6</t>
  </si>
  <si>
    <t xml:space="preserve">text code is a different language</t>
  </si>
  <si>
    <t xml:space="preserve">[KT §4.1]</t>
  </si>
  <si>
    <t xml:space="preserve">C11.2</t>
  </si>
  <si>
    <t xml:space="preserve">Commentaires #</t>
  </si>
  <si>
    <t xml:space="preserve">Comments</t>
  </si>
  <si>
    <t xml:space="preserve">T2,T4,T6,T8</t>
  </si>
  <si>
    <t xml:space="preserve">comments are executed</t>
  </si>
  <si>
    <t xml:space="preserve">[KT §4.1.1]</t>
  </si>
  <si>
    <t xml:space="preserve">C11.3</t>
  </si>
  <si>
    <t xml:space="preserve">Lire une erreur</t>
  </si>
  <si>
    <t xml:space="preserve">Reading an error</t>
  </si>
  <si>
    <t xml:space="preserve">T2,T6,T8,T4</t>
  </si>
  <si>
    <t xml:space="preserve">an error means I broke the computer</t>
  </si>
  <si>
    <t xml:space="preserve">[KT §1.2, §2.2]</t>
  </si>
  <si>
    <t xml:space="preserve">C11.4</t>
  </si>
  <si>
    <t xml:space="preserve">Mots-clés en anglais</t>
  </si>
  <si>
    <t xml:space="preserve">English keywords</t>
  </si>
  <si>
    <t xml:space="preserve">T4,T6,T1,T5</t>
  </si>
  <si>
    <t xml:space="preserve">English code is a new language to relearn</t>
  </si>
  <si>
    <t xml:space="preserve">[KT §1.1, §6]</t>
  </si>
  <si>
    <t xml:space="preserve">Mon application</t>
  </si>
  <si>
    <t xml:space="preserve">C12.1</t>
  </si>
  <si>
    <t xml:space="preserve">Planifier un projet</t>
  </si>
  <si>
    <t xml:space="preserve">Planning a project</t>
  </si>
  <si>
    <t xml:space="preserve">T9,T6,T5</t>
  </si>
  <si>
    <t xml:space="preserve">you start by coding</t>
  </si>
  <si>
    <t xml:space="preserve">[SC p.13]</t>
  </si>
  <si>
    <t xml:space="preserve">C12.2</t>
  </si>
  <si>
    <t xml:space="preserve">Listes</t>
  </si>
  <si>
    <t xml:space="preserve">Lists</t>
  </si>
  <si>
    <t xml:space="preserve">T2,T3,T4,T6,T9</t>
  </si>
  <si>
    <t xml:space="preserve">a list is one variable with a long name</t>
  </si>
  <si>
    <t xml:space="preserve">C12.3</t>
  </si>
  <si>
    <t xml:space="preserve">Écrans et navigation</t>
  </si>
  <si>
    <t xml:space="preserve">Screens and navigation</t>
  </si>
  <si>
    <t xml:space="preserve">T1,T4,T9,T6</t>
  </si>
  <si>
    <t xml:space="preserve">an app is one screen</t>
  </si>
  <si>
    <t xml:space="preserve">C12.4</t>
  </si>
  <si>
    <t xml:space="preserve">Publier et améliorer</t>
  </si>
  <si>
    <t xml:space="preserve">Publish and iterate</t>
  </si>
  <si>
    <t xml:space="preserve">T9,T6,T8</t>
  </si>
  <si>
    <t xml:space="preserve">a project is finished when it runs once</t>
  </si>
  <si>
    <t xml:space="preserve">[SC p.14]</t>
  </si>
  <si>
    <t xml:space="preserve">TOTAL concepts</t>
  </si>
  <si>
    <t xml:space="preserve">items minimum committed at G1</t>
  </si>
  <si>
    <t xml:space="preserve">Exercise bank sizing and authoring burn-up</t>
  </si>
  <si>
    <t xml:space="preserve">Blue cells are inputs. 'Authored to date' is the weekly input that drives the burn-up. Target pipeline: 120 published items/week at steady state (§12).</t>
  </si>
  <si>
    <t xml:space="preserve">Concepts</t>
  </si>
  <si>
    <t xml:space="preserve">Items committed</t>
  </si>
  <si>
    <t xml:space="preserve">Debug defis</t>
  </si>
  <si>
    <t xml:space="preserve">Mini-projects</t>
  </si>
  <si>
    <t xml:space="preserve">Bosses</t>
  </si>
  <si>
    <t xml:space="preserve">Total artefacts</t>
  </si>
  <si>
    <t xml:space="preserve">Authored to date</t>
  </si>
  <si>
    <t xml:space="preserve">% complete</t>
  </si>
  <si>
    <t xml:space="preserve">TOTAL</t>
  </si>
  <si>
    <t xml:space="preserve">Weeks of authoring required at 120 items/week</t>
  </si>
  <si>
    <t xml:space="preserve">Assumption: 120 published artefacts per week at steady state — committee planning figure (§12), not yet observed.</t>
  </si>
  <si>
    <t xml:space="preserve">Requirement register</t>
  </si>
  <si>
    <t xml:space="preserve">Every numbered requirement of the cahier des charges. Priority: M=Must, S=Should, C=Could (MoSCoW). Status is the only column the squads edit.</t>
  </si>
  <si>
    <t xml:space="preserve">ID</t>
  </si>
  <si>
    <t xml:space="preserve">Module</t>
  </si>
  <si>
    <t xml:space="preserve">Requirement (short)</t>
  </si>
  <si>
    <t xml:space="preserve">Priority</t>
  </si>
  <si>
    <t xml:space="preserve">Verification method</t>
  </si>
  <si>
    <t xml:space="preserve">Owner</t>
  </si>
  <si>
    <t xml:space="preserve">FR-M1-01</t>
  </si>
  <si>
    <t xml:space="preserve">M1 Language core</t>
  </si>
  <si>
    <t xml:space="preserve">Single AST; blocks and text are both projections of it</t>
  </si>
  <si>
    <t xml:space="preserve">M</t>
  </si>
  <si>
    <t xml:space="preserve">Round-trip property test (1000 random programs)</t>
  </si>
  <si>
    <t xml:space="preserve">FR-M1-02</t>
  </si>
  <si>
    <t xml:space="preserve">Keyword tables are locale data, incl. abbreviations</t>
  </si>
  <si>
    <t xml:space="preserve">[KT §4.3]</t>
  </si>
  <si>
    <t xml:space="preserve">Locale swap test, program preserved</t>
  </si>
  <si>
    <t xml:space="preserve">FR-M1-03</t>
  </si>
  <si>
    <t xml:space="preserve">Types: number, string, boolean, list</t>
  </si>
  <si>
    <t xml:space="preserve">[KT §4.1.3-4.1.5]</t>
  </si>
  <si>
    <t xml:space="preserve">Unit tests per type</t>
  </si>
  <si>
    <t xml:space="preserve">FR-M1-04</t>
  </si>
  <si>
    <t xml:space="preserve">Maths, comparison and boolean operators</t>
  </si>
  <si>
    <t xml:space="preserve">[KT §4.2]</t>
  </si>
  <si>
    <t xml:space="preserve">Operator conformance suite</t>
  </si>
  <si>
    <t xml:space="preserve">FR-M1-05</t>
  </si>
  <si>
    <t xml:space="preserve">Control: si, sinon, tantque, répète, pour, coupure, sortie</t>
  </si>
  <si>
    <t xml:space="preserve">[KT §4.5]</t>
  </si>
  <si>
    <t xml:space="preserve">Control-flow conformance suite</t>
  </si>
  <si>
    <t xml:space="preserve">FR-M1-06</t>
  </si>
  <si>
    <t xml:space="preserve">apprends with parameters and retourne; recursion depth 200</t>
  </si>
  <si>
    <t xml:space="preserve">Procedure suite + depth-guard test</t>
  </si>
  <si>
    <t xml:space="preserve">FR-M1-07</t>
  </si>
  <si>
    <t xml:space="preserve">Speed settings changeable while running</t>
  </si>
  <si>
    <t xml:space="preserve">[KT §2.5.4]</t>
  </si>
  <si>
    <t xml:space="preserve">Manual + automated step test</t>
  </si>
  <si>
    <t xml:space="preserve">FR-M1-08</t>
  </si>
  <si>
    <t xml:space="preserve">Pause and stop at any moment</t>
  </si>
  <si>
    <t xml:space="preserve">Interrupt test under load</t>
  </si>
  <si>
    <t xml:space="preserve">FR-M1-09</t>
  </si>
  <si>
    <t xml:space="preserve">Deterministic execution with a seed</t>
  </si>
  <si>
    <t xml:space="preserve">Replay equality test</t>
  </si>
  <si>
    <t xml:space="preserve">FR-M1-10</t>
  </si>
  <si>
    <t xml:space="preserve">Child-language errors with code, node and repair; no stack traces</t>
  </si>
  <si>
    <t xml:space="preserve">[KT §1.2]</t>
  </si>
  <si>
    <t xml:space="preserve">Error catalogue review, pass 2 of G4</t>
  </si>
  <si>
    <t xml:space="preserve">FR-M1-11</t>
  </si>
  <si>
    <t xml:space="preserve">Step-resumable interpreter</t>
  </si>
  <si>
    <t xml:space="preserve">Pause/resume equivalence test</t>
  </si>
  <si>
    <t xml:space="preserve">FR-M1-12</t>
  </si>
  <si>
    <t xml:space="preserve">Runtime ceilings with a friendly stop panel</t>
  </si>
  <si>
    <t xml:space="preserve">Fuzz + infinite-loop test</t>
  </si>
  <si>
    <t xml:space="preserve">FR-M2-01</t>
  </si>
  <si>
    <t xml:space="preserve">M2 Block editor</t>
  </si>
  <si>
    <t xml:space="preserve">Coloured block families matching the known model</t>
  </si>
  <si>
    <t xml:space="preserve">Design review + child panel</t>
  </si>
  <si>
    <t xml:space="preserve">FR-M2-02</t>
  </si>
  <si>
    <t xml:space="preserve">Drag to script area; click any block or stack to run</t>
  </si>
  <si>
    <t xml:space="preserve">[SC p.3,p.5]</t>
  </si>
  <si>
    <t xml:space="preserve">UI test</t>
  </si>
  <si>
    <t xml:space="preserve">FR-M2-03</t>
  </si>
  <si>
    <t xml:space="preserve">C-blocks visually enclose their body</t>
  </si>
  <si>
    <t xml:space="preserve">Visual regression test</t>
  </si>
  <si>
    <t xml:space="preserve">FR-M2-04</t>
  </si>
  <si>
    <t xml:space="preserve">Editable literals incl. negative values</t>
  </si>
  <si>
    <t xml:space="preserve">FR-M2-05</t>
  </si>
  <si>
    <t xml:space="preserve">Dropdown parameters (sound, key, effect, sprite)</t>
  </si>
  <si>
    <t xml:space="preserve">[SC p.4,p.8]</t>
  </si>
  <si>
    <t xml:space="preserve">FR-M2-06</t>
  </si>
  <si>
    <t xml:space="preserve">Grab a stack by its top block</t>
  </si>
  <si>
    <t xml:space="preserve">FR-M2-07</t>
  </si>
  <si>
    <t xml:space="preserve">Mobile: tap-to-place, bottom-sheet palette, 48dp targets</t>
  </si>
  <si>
    <t xml:space="preserve">Device matrix test + child panel</t>
  </si>
  <si>
    <t xml:space="preserve">FR-M2-08</t>
  </si>
  <si>
    <t xml:space="preserve">Palette scoping per exercise</t>
  </si>
  <si>
    <t xml:space="preserve">Item config test</t>
  </si>
  <si>
    <t xml:space="preserve">FR-M2-09</t>
  </si>
  <si>
    <t xml:space="preserve">Unlimited undo/redo</t>
  </si>
  <si>
    <t xml:space="preserve">S</t>
  </si>
  <si>
    <t xml:space="preserve">FR-M2-10</t>
  </si>
  <si>
    <t xml:space="preserve">One-tap contextual help with a runnable example</t>
  </si>
  <si>
    <t xml:space="preserve">[KT §2.5.7]</t>
  </si>
  <si>
    <t xml:space="preserve">Content coverage check (100% of blocks)</t>
  </si>
  <si>
    <t xml:space="preserve">FR-M3-01</t>
  </si>
  <si>
    <t xml:space="preserve">M3 Text editor</t>
  </si>
  <si>
    <t xml:space="preserve">Syntax highlighting by category</t>
  </si>
  <si>
    <t xml:space="preserve">[KT §5 t.5.1]</t>
  </si>
  <si>
    <t xml:space="preserve">Visual regression + contrast audit</t>
  </si>
  <si>
    <t xml:space="preserve">FR-M3-02</t>
  </si>
  <si>
    <t xml:space="preserve">Toggleable line numbers</t>
  </si>
  <si>
    <t xml:space="preserve">[KT §2.5.6]</t>
  </si>
  <si>
    <t xml:space="preserve">FR-M3-03</t>
  </si>
  <si>
    <t xml:space="preserve">Red error lines linked to the message</t>
  </si>
  <si>
    <t xml:space="preserve">[KT §1.2,§2.2]</t>
  </si>
  <si>
    <t xml:space="preserve">Error-mapping test</t>
  </si>
  <si>
    <t xml:space="preserve">FR-M3-04</t>
  </si>
  <si>
    <t xml:space="preserve"># comments and one-tap comment/uncomment</t>
  </si>
  <si>
    <t xml:space="preserve">FR-M3-05</t>
  </si>
  <si>
    <t xml:space="preserve">Toggle never loses a program; safe fallback on invalid text</t>
  </si>
  <si>
    <t xml:space="preserve">Fuzz round-trip test</t>
  </si>
  <si>
    <t xml:space="preserve">FR-M3-06</t>
  </si>
  <si>
    <t xml:space="preserve">Keyword autocomplete with EN equivalent from World 9</t>
  </si>
  <si>
    <t xml:space="preserve">FR-M3-07</t>
  </si>
  <si>
    <t xml:space="preserve">Mobile programming keyboard row</t>
  </si>
  <si>
    <t xml:space="preserve">Child panel on phone</t>
  </si>
  <si>
    <t xml:space="preserve">FR-M3-08</t>
  </si>
  <si>
    <t xml:space="preserve">Export program as text and as a code image</t>
  </si>
  <si>
    <t xml:space="preserve">[KT §2.5.1]</t>
  </si>
  <si>
    <t xml:space="preserve">Export test</t>
  </si>
  <si>
    <t xml:space="preserve">FR-M4-01</t>
  </si>
  <si>
    <t xml:space="preserve">M4 Canvas &amp; stage</t>
  </si>
  <si>
    <t xml:space="preserve">Two surfaces: canevas (turtle) and scène (sprites)</t>
  </si>
  <si>
    <t xml:space="preserve">[KT §4.3.4][SC p.9]</t>
  </si>
  <si>
    <t xml:space="preserve">Functional test both surfaces</t>
  </si>
  <si>
    <t xml:space="preserve">FR-M4-02</t>
  </si>
  <si>
    <t xml:space="preserve">Vector rendering, zoomable, PNG and SVG export</t>
  </si>
  <si>
    <t xml:space="preserve">[KT §2.5.3]</t>
  </si>
  <si>
    <t xml:space="preserve">Export fidelity test</t>
  </si>
  <si>
    <t xml:space="preserve">FR-M4-03</t>
  </si>
  <si>
    <t xml:space="preserve">Sprites: show/hide, costumes, effects, multiple sprites</t>
  </si>
  <si>
    <t xml:space="preserve">[SC p.7,p.10,p.11]</t>
  </si>
  <si>
    <t xml:space="preserve">Functional test</t>
  </si>
  <si>
    <t xml:space="preserve">FR-M4-04</t>
  </si>
  <si>
    <t xml:space="preserve">Backdrops: library, import, draw, camera (consent-gated)</t>
  </si>
  <si>
    <t xml:space="preserve">[SC p.9,p.10][COM]</t>
  </si>
  <si>
    <t xml:space="preserve">Consent-flow test (seat 13)</t>
  </si>
  <si>
    <t xml:space="preserve">FR-M4-05</t>
  </si>
  <si>
    <t xml:space="preserve">Sound: library, drums/notes, import, record (consent-gated)</t>
  </si>
  <si>
    <t xml:space="preserve">[SC p.4,p.11]</t>
  </si>
  <si>
    <t xml:space="preserve">FR-M4-06</t>
  </si>
  <si>
    <t xml:space="preserve">Inspector: live variables, functions, execution tree</t>
  </si>
  <si>
    <t xml:space="preserve">[KT §2.3]</t>
  </si>
  <si>
    <t xml:space="preserve">Functional test + lesson C6.4</t>
  </si>
  <si>
    <t xml:space="preserve">FR-M4-07</t>
  </si>
  <si>
    <t xml:space="preserve">Slow/step highlights both the block and the text line</t>
  </si>
  <si>
    <t xml:space="preserve">Visual test</t>
  </si>
  <si>
    <t xml:space="preserve">FR-M4-08</t>
  </si>
  <si>
    <t xml:space="preserve">Ghosted future-path overlay in step mode</t>
  </si>
  <si>
    <t xml:space="preserve">Child panel value test</t>
  </si>
  <si>
    <t xml:space="preserve">FR-M5-01</t>
  </si>
  <si>
    <t xml:space="preserve">M5 Tutorial engine</t>
  </si>
  <si>
    <t xml:space="preserve">Tutorials are authored data, not code</t>
  </si>
  <si>
    <t xml:space="preserve">Add a tutorial without a build</t>
  </si>
  <si>
    <t xml:space="preserve">FR-M5-02</t>
  </si>
  <si>
    <t xml:space="preserve">Spotlight, ghost-block demo, single call to action</t>
  </si>
  <si>
    <t xml:space="preserve">Design review</t>
  </si>
  <si>
    <t xml:space="preserve">FR-M5-03</t>
  </si>
  <si>
    <t xml:space="preserve">FR+EN voice-over; text always visible; CE2/CM1 reading level</t>
  </si>
  <si>
    <t xml:space="preserve">Readability scoring of 100% of strings</t>
  </si>
  <si>
    <t xml:space="preserve">FR-M5-04</t>
  </si>
  <si>
    <t xml:space="preserve">No skip on first pass; skippable on repeat</t>
  </si>
  <si>
    <t xml:space="preserve">FR-M5-05</t>
  </si>
  <si>
    <t xml:space="preserve">A tutorial never touches the child's own project</t>
  </si>
  <si>
    <t xml:space="preserve">Isolation test</t>
  </si>
  <si>
    <t xml:space="preserve">FR-M5-06</t>
  </si>
  <si>
    <t xml:space="preserve">Every tutorial names the concept in child words</t>
  </si>
  <si>
    <t xml:space="preserve">Content review pass 2</t>
  </si>
  <si>
    <t xml:space="preserve">FR-M6-01</t>
  </si>
  <si>
    <t xml:space="preserve">M6 Grading</t>
  </si>
  <si>
    <t xml:space="preserve">Three grading signals: behavioural, structural, process</t>
  </si>
  <si>
    <t xml:space="preserve">Grader test suite with negative cases</t>
  </si>
  <si>
    <t xml:space="preserve">FR-M6-02</t>
  </si>
  <si>
    <t xml:space="preserve">No pass depends on whitespace, layout or independent order</t>
  </si>
  <si>
    <t xml:space="preserve">Equivalence-class tests</t>
  </si>
  <si>
    <t xml:space="preserve">FR-M6-03</t>
  </si>
  <si>
    <t xml:space="preserve">Diagnostic failure messages in the child's language</t>
  </si>
  <si>
    <t xml:space="preserve">Content review of 100% of messages</t>
  </si>
  <si>
    <t xml:space="preserve">FR-M6-04</t>
  </si>
  <si>
    <t xml:space="preserve">Grading runs entirely on device</t>
  </si>
  <si>
    <t xml:space="preserve">Airplane-mode soak test</t>
  </si>
  <si>
    <t xml:space="preserve">FR-M6-05</t>
  </si>
  <si>
    <t xml:space="preserve">Two hints per item; never reveals the solution</t>
  </si>
  <si>
    <t xml:space="preserve">Content completeness gate in the CMS</t>
  </si>
  <si>
    <t xml:space="preserve">FR-M6-06</t>
  </si>
  <si>
    <t xml:space="preserve">Open-build rubric shown before the child starts</t>
  </si>
  <si>
    <t xml:space="preserve">FR-M6-07</t>
  </si>
  <si>
    <t xml:space="preserve">Item interactive in &lt;=1.2s on the reference device</t>
  </si>
  <si>
    <t xml:space="preserve">Performance test</t>
  </si>
  <si>
    <t xml:space="preserve">FR-M6-08</t>
  </si>
  <si>
    <t xml:space="preserve">Every attempt persists the program snapshot</t>
  </si>
  <si>
    <t xml:space="preserve">Storage test + dashboard check</t>
  </si>
  <si>
    <t xml:space="preserve">FR-M6-09</t>
  </si>
  <si>
    <t xml:space="preserve">Items versioned; fixes never invalidate past mastery</t>
  </si>
  <si>
    <t xml:space="preserve">Migration test</t>
  </si>
  <si>
    <t xml:space="preserve">FR-M7-01</t>
  </si>
  <si>
    <t xml:space="preserve">M7 Progression</t>
  </si>
  <si>
    <t xml:space="preserve">Mastery rule of §4.6 computed on device</t>
  </si>
  <si>
    <t xml:space="preserve">Simulation against synthetic learners</t>
  </si>
  <si>
    <t xml:space="preserve">FR-M7-02</t>
  </si>
  <si>
    <t xml:space="preserve">Daily mix 60/20/20 current/interleaved/decayed</t>
  </si>
  <si>
    <t xml:space="preserve">Scheduler unit test</t>
  </si>
  <si>
    <t xml:space="preserve">FR-M7-03</t>
  </si>
  <si>
    <t xml:space="preserve">Adaptive difficulty with a D1 floor after two failures</t>
  </si>
  <si>
    <t xml:space="preserve">FR-M7-04</t>
  </si>
  <si>
    <t xml:space="preserve">6-item adaptive placement at first launch</t>
  </si>
  <si>
    <t xml:space="preserve">Pilot with 30 children</t>
  </si>
  <si>
    <t xml:space="preserve">FR-M7-05</t>
  </si>
  <si>
    <t xml:space="preserve">Concept state machine Non vu -&gt; Maîtrisé -&gt; À revoir</t>
  </si>
  <si>
    <t xml:space="preserve">State test</t>
  </si>
  <si>
    <t xml:space="preserve">FR-M7-06</t>
  </si>
  <si>
    <t xml:space="preserve">Progress shown as a map with 0-3 stars</t>
  </si>
  <si>
    <t xml:space="preserve">Child panel</t>
  </si>
  <si>
    <t xml:space="preserve">FR-M7-07</t>
  </si>
  <si>
    <t xml:space="preserve">No progression may be bought or unlocked by an ad</t>
  </si>
  <si>
    <t xml:space="preserve">Seat 13 audit</t>
  </si>
  <si>
    <t xml:space="preserve">FR-M8-01</t>
  </si>
  <si>
    <t xml:space="preserve">M8 Motivation</t>
  </si>
  <si>
    <t xml:space="preserve">Rewards are competence-linked</t>
  </si>
  <si>
    <t xml:space="preserve">Design review seat 6 + seat 5</t>
  </si>
  <si>
    <t xml:space="preserve">FR-M8-02</t>
  </si>
  <si>
    <t xml:space="preserve">Child-set daily goal with a stop message</t>
  </si>
  <si>
    <t xml:space="preserve">UI test + child panel</t>
  </si>
  <si>
    <t xml:space="preserve">FR-M8-03</t>
  </si>
  <si>
    <t xml:space="preserve">Forgiving streaks, two free days</t>
  </si>
  <si>
    <t xml:space="preserve">Logic test</t>
  </si>
  <si>
    <t xml:space="preserve">FR-M8-04</t>
  </si>
  <si>
    <t xml:space="preserve">Prohibited mechanics list is auditable and empty</t>
  </si>
  <si>
    <t xml:space="preserve">G4 pass 5 audit</t>
  </si>
  <si>
    <t xml:space="preserve">FR-M8-05</t>
  </si>
  <si>
    <t xml:space="preserve">Only self-comparison and opt-in class effort boards</t>
  </si>
  <si>
    <t xml:space="preserve">FR-M9-01</t>
  </si>
  <si>
    <t xml:space="preserve">M9 Studio</t>
  </si>
  <si>
    <t xml:space="preserve">Unlimited projects; blank, template or remix</t>
  </si>
  <si>
    <t xml:space="preserve">FR-M9-02</t>
  </si>
  <si>
    <t xml:space="preserve">Full palette, multi-sprite, sounds, custom blocks, lists</t>
  </si>
  <si>
    <t xml:space="preserve">[SC p.4-11]</t>
  </si>
  <si>
    <t xml:space="preserve">FR-M9-03</t>
  </si>
  <si>
    <t xml:space="preserve">Autosave &lt;=20s and on background; 10 local versions</t>
  </si>
  <si>
    <t xml:space="preserve">Force-kill test</t>
  </si>
  <si>
    <t xml:space="preserve">FR-M9-04</t>
  </si>
  <si>
    <t xml:space="preserve">Full-screen presentation mode</t>
  </si>
  <si>
    <t xml:space="preserve">FR-M9-05</t>
  </si>
  <si>
    <t xml:space="preserve">Export project, PNG/SVG, 30s screen capture</t>
  </si>
  <si>
    <t xml:space="preserve">FR-M9-06</t>
  </si>
  <si>
    <t xml:space="preserve">Recettes panel with 20+ patterns</t>
  </si>
  <si>
    <t xml:space="preserve">Content count check</t>
  </si>
  <si>
    <t xml:space="preserve">FR-M10-01</t>
  </si>
  <si>
    <t xml:space="preserve">M10 Sharing</t>
  </si>
  <si>
    <t xml:space="preserve">Sharing off by default; guardian/teacher action required</t>
  </si>
  <si>
    <t xml:space="preserve">FR-M10-02</t>
  </si>
  <si>
    <t xml:space="preserve">Shared item carries title, thumbnail, instructions, credits</t>
  </si>
  <si>
    <t xml:space="preserve">FR-M10-03</t>
  </si>
  <si>
    <t xml:space="preserve">No free-text comments in v1; icon reactions only</t>
  </si>
  <si>
    <t xml:space="preserve">FR-M10-04</t>
  </si>
  <si>
    <t xml:space="preserve">Generated display names; never typed</t>
  </si>
  <si>
    <t xml:space="preserve">FR-M10-05</t>
  </si>
  <si>
    <t xml:space="preserve">One-tap remix with attribution</t>
  </si>
  <si>
    <t xml:space="preserve">FR-M10-06</t>
  </si>
  <si>
    <t xml:space="preserve">Report button; triage &lt;24h; remove on doubt</t>
  </si>
  <si>
    <t xml:space="preserve">Moderation drill</t>
  </si>
  <si>
    <t xml:space="preserve">FR-M10-07</t>
  </si>
  <si>
    <t xml:space="preserve">Class gallery is the default scope</t>
  </si>
  <si>
    <t xml:space="preserve">FR-M11-01</t>
  </si>
  <si>
    <t xml:space="preserve">M11 Parent space</t>
  </si>
  <si>
    <t xml:space="preserve">PIN/biometric gate children cannot pass</t>
  </si>
  <si>
    <t xml:space="preserve">Child panel attempt test</t>
  </si>
  <si>
    <t xml:space="preserve">FR-M11-02</t>
  </si>
  <si>
    <t xml:space="preserve">Plain-language weekly summary in one screen</t>
  </si>
  <si>
    <t xml:space="preserve">Parent panel test (10 parents)</t>
  </si>
  <si>
    <t xml:space="preserve">FR-M11-03</t>
  </si>
  <si>
    <t xml:space="preserve">Controls: time cap, sharing, camera, mic, sync, export, delete</t>
  </si>
  <si>
    <t xml:space="preserve">Functional + compliance test</t>
  </si>
  <si>
    <t xml:space="preserve">FR-M11-04</t>
  </si>
  <si>
    <t xml:space="preserve">No ads; purchase surfaces only in the parent space</t>
  </si>
  <si>
    <t xml:space="preserve">FR-M12-01</t>
  </si>
  <si>
    <t xml:space="preserve">M12 Classroom</t>
  </si>
  <si>
    <t xml:space="preserve">Class code join with first name only</t>
  </si>
  <si>
    <t xml:space="preserve">FR-M12-02</t>
  </si>
  <si>
    <t xml:space="preserve">Assign content; live mastery grid per pupil</t>
  </si>
  <si>
    <t xml:space="preserve">Pilot classroom</t>
  </si>
  <si>
    <t xml:space="preserve">FR-M12-03</t>
  </si>
  <si>
    <t xml:space="preserve">Offline classroom seeding and collection over local Wi-Fi</t>
  </si>
  <si>
    <t xml:space="preserve">No-internet classroom drill</t>
  </si>
  <si>
    <t xml:space="preserve">FR-M12-04</t>
  </si>
  <si>
    <t xml:space="preserve">Printable progress sheet and unplugged worksheets</t>
  </si>
  <si>
    <t xml:space="preserve">Print test</t>
  </si>
  <si>
    <t xml:space="preserve">FR-M12-05</t>
  </si>
  <si>
    <t xml:space="preserve">Projection mode, big font, high contrast</t>
  </si>
  <si>
    <t xml:space="preserve">Classroom test</t>
  </si>
  <si>
    <t xml:space="preserve">FR-M13-01</t>
  </si>
  <si>
    <t xml:space="preserve">M13 Accounts</t>
  </si>
  <si>
    <t xml:space="preserve">Full functionality without an account; picture-password</t>
  </si>
  <si>
    <t xml:space="preserve">FR-M13-02</t>
  </si>
  <si>
    <t xml:space="preserve">Accounts created only by guardian/teacher; minimal data</t>
  </si>
  <si>
    <t xml:space="preserve">FR-M13-03</t>
  </si>
  <si>
    <t xml:space="preserve">Multi-profile on one device</t>
  </si>
  <si>
    <t xml:space="preserve">FR-M13-04</t>
  </si>
  <si>
    <t xml:space="preserve">Sync conflicts create copies, never silent overwrite</t>
  </si>
  <si>
    <t xml:space="preserve">Conflict test matrix</t>
  </si>
  <si>
    <t xml:space="preserve">FR-M13-05</t>
  </si>
  <si>
    <t xml:space="preserve">Self-service export and deletion within 30 days</t>
  </si>
  <si>
    <t xml:space="preserve">Compliance test</t>
  </si>
  <si>
    <t xml:space="preserve">FR-M14-01</t>
  </si>
  <si>
    <t xml:space="preserve">M14 Offline</t>
  </si>
  <si>
    <t xml:space="preserve">Whole curriculum usable offline after one download</t>
  </si>
  <si>
    <t xml:space="preserve">Airplane-mode full-curriculum soak</t>
  </si>
  <si>
    <t xml:space="preserve">FR-M14-02</t>
  </si>
  <si>
    <t xml:space="preserve">Signed versioned packs, &lt;=12MB/world, &lt;=25MB base app</t>
  </si>
  <si>
    <t xml:space="preserve">Size budget check in CI</t>
  </si>
  <si>
    <t xml:space="preserve">FR-M14-03</t>
  </si>
  <si>
    <t xml:space="preserve">Resumable Wi-Fi download; sideload from teacher device or SD</t>
  </si>
  <si>
    <t xml:space="preserve">Field test</t>
  </si>
  <si>
    <t xml:space="preserve">FR-M14-04</t>
  </si>
  <si>
    <t xml:space="preserve">Telemetry queues locally; nothing blocks on the network</t>
  </si>
  <si>
    <t xml:space="preserve">Network-chaos test</t>
  </si>
  <si>
    <t xml:space="preserve">FR-M15-01</t>
  </si>
  <si>
    <t xml:space="preserve">M15 Localisation</t>
  </si>
  <si>
    <t xml:space="preserve">Interface, keywords and content localised independently</t>
  </si>
  <si>
    <t xml:space="preserve">[KT §6]</t>
  </si>
  <si>
    <t xml:space="preserve">Locale coverage report</t>
  </si>
  <si>
    <t xml:space="preserve">FR-M15-02</t>
  </si>
  <si>
    <t xml:space="preserve">FR and EN complete at v1; Wolof interface v1.2</t>
  </si>
  <si>
    <t xml:space="preserve">Coverage gate at 100%</t>
  </si>
  <si>
    <t xml:space="preserve">FR-M15-03</t>
  </si>
  <si>
    <t xml:space="preserve">Keyword language hot-swappable mid-session</t>
  </si>
  <si>
    <t xml:space="preserve">Swap test</t>
  </si>
  <si>
    <t xml:space="preserve">FR-M15-04</t>
  </si>
  <si>
    <t xml:space="preserve">No concatenated fragments; full sentences with context notes</t>
  </si>
  <si>
    <t xml:space="preserve">CMS lint rule</t>
  </si>
  <si>
    <t xml:space="preserve">FR-M15-05</t>
  </si>
  <si>
    <t xml:space="preserve">Locale number format and keyword pronunciation</t>
  </si>
  <si>
    <t xml:space="preserve">[KT §4.1.3]</t>
  </si>
  <si>
    <t xml:space="preserve">Audio review</t>
  </si>
  <si>
    <t xml:space="preserve">FR-M16-01</t>
  </si>
  <si>
    <t xml:space="preserve">M16 Accessibility</t>
  </si>
  <si>
    <t xml:space="preserve">WCAG 2.2 AA; never colour alone — icon and shape too</t>
  </si>
  <si>
    <t xml:space="preserve">External accessibility audit</t>
  </si>
  <si>
    <t xml:space="preserve">FR-M16-02</t>
  </si>
  <si>
    <t xml:space="preserve">Narration of every instruction, question and error</t>
  </si>
  <si>
    <t xml:space="preserve">Audio coverage report</t>
  </si>
  <si>
    <t xml:space="preserve">FR-M16-03</t>
  </si>
  <si>
    <t xml:space="preserve">Dyslexia font, 100-200% text, reduced motion</t>
  </si>
  <si>
    <t xml:space="preserve">FR-M16-04</t>
  </si>
  <si>
    <t xml:space="preserve">Keyboard-only operation incl. block placement; SR labels</t>
  </si>
  <si>
    <t xml:space="preserve">Screen-reader test script</t>
  </si>
  <si>
    <t xml:space="preserve">FR-M16-05</t>
  </si>
  <si>
    <t xml:space="preserve">Colour-blind safe palettes</t>
  </si>
  <si>
    <t xml:space="preserve">Simulation audit</t>
  </si>
  <si>
    <t xml:space="preserve">FR-M17-01</t>
  </si>
  <si>
    <t xml:space="preserve">M17 Analytics</t>
  </si>
  <si>
    <t xml:space="preserve">Fixed event taxonomy</t>
  </si>
  <si>
    <t xml:space="preserve">Event schema test</t>
  </si>
  <si>
    <t xml:space="preserve">FR-M17-02</t>
  </si>
  <si>
    <t xml:space="preserve">Pseudonymous; no ad IDs; no data-sale SDKs</t>
  </si>
  <si>
    <t xml:space="preserve">Seat 13 SDK allow-list audit</t>
  </si>
  <si>
    <t xml:space="preserve">FR-M17-03</t>
  </si>
  <si>
    <t xml:space="preserve">Item health metrics; flag items outside 35-97% pass rate</t>
  </si>
  <si>
    <t xml:space="preserve">Report generation test</t>
  </si>
  <si>
    <t xml:space="preserve">FR-M17-04</t>
  </si>
  <si>
    <t xml:space="preserve">Weekly curriculum health report to the Committee</t>
  </si>
  <si>
    <t xml:space="preserve">Report delivered for 4 consecutive weeks</t>
  </si>
  <si>
    <t xml:space="preserve">FR-M18-01</t>
  </si>
  <si>
    <t xml:space="preserve">M18 CMS</t>
  </si>
  <si>
    <t xml:space="preserve">Non-engineers author everything with preview-as-child</t>
  </si>
  <si>
    <t xml:space="preserve">Author usability test</t>
  </si>
  <si>
    <t xml:space="preserve">FR-M18-02</t>
  </si>
  <si>
    <t xml:space="preserve">Publication gate: concept, difficulty, 2 hints, FR+EN, reference solution</t>
  </si>
  <si>
    <t xml:space="preserve">CMS rule test</t>
  </si>
  <si>
    <t xml:space="preserve">FR-M18-03</t>
  </si>
  <si>
    <t xml:space="preserve">Author -&gt; pedagogy -&gt; localisation -&gt; publish with audit trail</t>
  </si>
  <si>
    <t xml:space="preserve">Workflow test</t>
  </si>
  <si>
    <t xml:space="preserve">FR-M18-04</t>
  </si>
  <si>
    <t xml:space="preserve">Bulk import/export of item banks</t>
  </si>
  <si>
    <t xml:space="preserve">Round-trip export test</t>
  </si>
  <si>
    <t xml:space="preserve">NFR-PERF-01</t>
  </si>
  <si>
    <t xml:space="preserve">NFR Performance</t>
  </si>
  <si>
    <t xml:space="preserve">Cold start &lt;=3.0s on the reference device</t>
  </si>
  <si>
    <t xml:space="preserve">Device matrix benchmark</t>
  </si>
  <si>
    <t xml:space="preserve">NFR-PERF-02</t>
  </si>
  <si>
    <t xml:space="preserve">&gt;=50fps drag; &gt;=30fps with 2000 segments</t>
  </si>
  <si>
    <t xml:space="preserve">Frame-timing capture</t>
  </si>
  <si>
    <t xml:space="preserve">NFR-PERF-03</t>
  </si>
  <si>
    <t xml:space="preserve">Run to first visible change &lt;=300ms</t>
  </si>
  <si>
    <t xml:space="preserve">Instrumented timing</t>
  </si>
  <si>
    <t xml:space="preserve">NFR-SIZE-01</t>
  </si>
  <si>
    <t xml:space="preserve">NFR Footprint</t>
  </si>
  <si>
    <t xml:space="preserve">Base &lt;=25MB; full curriculum &lt;=180MB</t>
  </si>
  <si>
    <t xml:space="preserve">CI size budget</t>
  </si>
  <si>
    <t xml:space="preserve">NFR-BATT-01</t>
  </si>
  <si>
    <t xml:space="preserve">NFR Battery</t>
  </si>
  <si>
    <t xml:space="preserve">&lt;=8% battery per 30-min session</t>
  </si>
  <si>
    <t xml:space="preserve">Battery historian run</t>
  </si>
  <si>
    <t xml:space="preserve">NFR-OFF-01</t>
  </si>
  <si>
    <t xml:space="preserve">NFR Availability</t>
  </si>
  <si>
    <t xml:space="preserve">100% of learning features work offline</t>
  </si>
  <si>
    <t xml:space="preserve">Airplane-mode soak</t>
  </si>
  <si>
    <t xml:space="preserve">NFR-REL-01</t>
  </si>
  <si>
    <t xml:space="preserve">NFR Reliability</t>
  </si>
  <si>
    <t xml:space="preserve">&gt;=99.5% crash-free sessions; no data loss on kill</t>
  </si>
  <si>
    <t xml:space="preserve">Field telemetry + kill test</t>
  </si>
  <si>
    <t xml:space="preserve">NFR-SEC-01</t>
  </si>
  <si>
    <t xml:space="preserve">NFR Security</t>
  </si>
  <si>
    <t xml:space="preserve">TLS1.3; signed packs; no RCE path in the interpreter</t>
  </si>
  <si>
    <t xml:space="preserve">Pen test + interpreter fuzzing</t>
  </si>
  <si>
    <t xml:space="preserve">NFR-PRIV-01</t>
  </si>
  <si>
    <t xml:space="preserve">NFR Privacy</t>
  </si>
  <si>
    <t xml:space="preserve">Data minimisation by default (§13)</t>
  </si>
  <si>
    <t xml:space="preserve">DPIA + seat 13 sign-off</t>
  </si>
  <si>
    <t xml:space="preserve">NFR-COMP-01</t>
  </si>
  <si>
    <t xml:space="preserve">NFR Compatibility</t>
  </si>
  <si>
    <t xml:space="preserve">Android 8+, iOS 14+, Win10+, macOS12+, Linux LTS, browser</t>
  </si>
  <si>
    <t xml:space="preserve">Device matrix</t>
  </si>
  <si>
    <t xml:space="preserve">NFR-A11Y-01</t>
  </si>
  <si>
    <t xml:space="preserve">NFR Accessibility</t>
  </si>
  <si>
    <t xml:space="preserve">WCAG 2.2 AA verified externally before launch</t>
  </si>
  <si>
    <t xml:space="preserve">External audit report</t>
  </si>
  <si>
    <t xml:space="preserve">NFR-I18N-01</t>
  </si>
  <si>
    <t xml:space="preserve">NFR Localisation</t>
  </si>
  <si>
    <t xml:space="preserve">No hard-coded strings; coverage enforced in CI</t>
  </si>
  <si>
    <t xml:space="preserve">CI lint</t>
  </si>
  <si>
    <t xml:space="preserve">NFR-MAINT-01</t>
  </si>
  <si>
    <t xml:space="preserve">NFR Maintainability</t>
  </si>
  <si>
    <t xml:space="preserve">Adding a world requires no app release</t>
  </si>
  <si>
    <t xml:space="preserve">Pack-only release drill</t>
  </si>
  <si>
    <t xml:space="preserve">NFR-COST-01</t>
  </si>
  <si>
    <t xml:space="preserve">NFR Economics</t>
  </si>
  <si>
    <t xml:space="preserve">Marginal cost per child per month within budget line</t>
  </si>
  <si>
    <t xml:space="preserve">Cost model review</t>
  </si>
  <si>
    <t xml:space="preserve">Total requirements</t>
  </si>
  <si>
    <t xml:space="preserve">Gate G5 — market challenge scoring matrix</t>
  </si>
  <si>
    <t xml:space="preserve">Scores 0-5. KODO target = the level we commit to. Competitor scores are COMMITTEE ESTIMATES, provisional until the §15.4 hands-on protocol is completed and an evidence link is recorded.</t>
  </si>
  <si>
    <t xml:space="preserve">Product</t>
  </si>
  <si>
    <t xml:space="preserve">Category</t>
  </si>
  <si>
    <t xml:space="preserve">Concept coverage 8-11</t>
  </si>
  <si>
    <t xml:space="preserve">Mastery evidence, not completion</t>
  </si>
  <si>
    <t xml:space="preserve">Misconception handling</t>
  </si>
  <si>
    <t xml:space="preserve">Volume of graded practice</t>
  </si>
  <si>
    <t xml:space="preserve">Onboarding first 15 minutes</t>
  </si>
  <si>
    <t xml:space="preserve">Clarity of instruction</t>
  </si>
  <si>
    <t xml:space="preserve">Motivation without dark patterns</t>
  </si>
  <si>
    <t xml:space="preserve">Fits a 20-min session</t>
  </si>
  <si>
    <t xml:space="preserve">Works fully offline</t>
  </si>
  <si>
    <t xml:space="preserve">Runs on 2GB Android</t>
  </si>
  <si>
    <t xml:space="preserve">Free / affordable</t>
  </si>
  <si>
    <t xml:space="preserve">French-first content quality</t>
  </si>
  <si>
    <t xml:space="preserve">Creation ceiling</t>
  </si>
  <si>
    <t xml:space="preserve">Publish and show others</t>
  </si>
  <si>
    <t xml:space="preserve">Remix and learn from others</t>
  </si>
  <si>
    <t xml:space="preserve">Block &lt;-&gt; text bridge</t>
  </si>
  <si>
    <t xml:space="preserve">No ads, no purchase to the child</t>
  </si>
  <si>
    <t xml:space="preserve">No open chat / safe social</t>
  </si>
  <si>
    <t xml:space="preserve">Privacy and data minimisation</t>
  </si>
  <si>
    <t xml:space="preserve">Parent and teacher control</t>
  </si>
  <si>
    <t xml:space="preserve">Weighted score</t>
  </si>
  <si>
    <t xml:space="preserve">Scored by / date</t>
  </si>
  <si>
    <t xml:space="preserve">WEIGHT (edit)</t>
  </si>
  <si>
    <t xml:space="preserve">sum must be 100</t>
  </si>
  <si>
    <t xml:space="preserve">KODO (target v1)</t>
  </si>
  <si>
    <t xml:space="preserve">This product</t>
  </si>
  <si>
    <t xml:space="preserve">Scratch (MIT)</t>
  </si>
  <si>
    <t xml:space="preserve">Block creation</t>
  </si>
  <si>
    <t xml:space="preserve">ScratchJr</t>
  </si>
  <si>
    <t xml:space="preserve">Block creation (5-7)</t>
  </si>
  <si>
    <t xml:space="preserve">Snap!</t>
  </si>
  <si>
    <t xml:space="preserve">Block creation (advanced)</t>
  </si>
  <si>
    <t xml:space="preserve">Code.org CS Fundamentals</t>
  </si>
  <si>
    <t xml:space="preserve">Curriculum, free</t>
  </si>
  <si>
    <t xml:space="preserve">Tynker</t>
  </si>
  <si>
    <t xml:space="preserve">Paid children's course</t>
  </si>
  <si>
    <t xml:space="preserve">Kodable</t>
  </si>
  <si>
    <t xml:space="preserve">CodeSpark Academy</t>
  </si>
  <si>
    <t xml:space="preserve">Lightbot</t>
  </si>
  <si>
    <t xml:space="preserve">Puzzle game</t>
  </si>
  <si>
    <t xml:space="preserve">Blockly Games</t>
  </si>
  <si>
    <t xml:space="preserve">Turtle lineage, free</t>
  </si>
  <si>
    <t xml:space="preserve">Turtle Academy</t>
  </si>
  <si>
    <t xml:space="preserve">KTurtle (KDE)</t>
  </si>
  <si>
    <t xml:space="preserve">Turtle lineage, desktop</t>
  </si>
  <si>
    <t xml:space="preserve">Swift Playgrounds</t>
  </si>
  <si>
    <t xml:space="preserve">Text-code learning</t>
  </si>
  <si>
    <t xml:space="preserve">Grasshopper / Mimo</t>
  </si>
  <si>
    <t xml:space="preserve">MIT App Inventor / Thunkable</t>
  </si>
  <si>
    <t xml:space="preserve">Child app building</t>
  </si>
  <si>
    <t xml:space="preserve">Minecraft Edu / Roblox Studio</t>
  </si>
  <si>
    <t xml:space="preserve">Engagement ceiling</t>
  </si>
  <si>
    <t xml:space="preserve">Duolingo (mechanics benchmark)</t>
  </si>
  <si>
    <t xml:space="preserve">Not a competitor</t>
  </si>
  <si>
    <t xml:space="preserve">Criterion family map</t>
  </si>
  <si>
    <t xml:space="preserve">Pedagogy</t>
  </si>
  <si>
    <t xml:space="preserve">Experience</t>
  </si>
  <si>
    <t xml:space="preserve">Reach</t>
  </si>
  <si>
    <t xml:space="preserve">Creation</t>
  </si>
  <si>
    <t xml:space="preserve">Trust</t>
  </si>
  <si>
    <t xml:space="preserve">Method: for each product, a committee pair (one pedagogy seat, one experience seat) completes 60 minutes hands-on with a child present, a first-15-minutes teardown, three 'steal this' findings and one 'we are beaten here' finding. Findings go to the improvement backlog. No score is final without an evidence link.</t>
  </si>
  <si>
    <t xml:space="preserve">Improvement backlog (RICE-scored)</t>
  </si>
  <si>
    <t xml:space="preserve">Fed by G4 findings, G5 challenge findings, child panel observation and item-health telemetry. RICE = Reach x Impact x Confidence / Effort.</t>
  </si>
  <si>
    <t xml:space="preserve">Finding / opportunity</t>
  </si>
  <si>
    <t xml:space="preserve">Proposed response</t>
  </si>
  <si>
    <t xml:space="preserve">Severity</t>
  </si>
  <si>
    <t xml:space="preserve">Reach (0-1)</t>
  </si>
  <si>
    <t xml:space="preserve">Impact (0.25-3)</t>
  </si>
  <si>
    <t xml:space="preserve">Confidence (0-1)</t>
  </si>
  <si>
    <t xml:space="preserve">Effort (person-weeks)</t>
  </si>
  <si>
    <t xml:space="preserve">RICE</t>
  </si>
  <si>
    <t xml:space="preserve">Loop</t>
  </si>
  <si>
    <t xml:space="preserve">IMP-001</t>
  </si>
  <si>
    <t xml:space="preserve">G5 Scratch</t>
  </si>
  <si>
    <t xml:space="preserve">Scratch's creation ceiling and gallery scale will out-pull us once a child reaches World 10</t>
  </si>
  <si>
    <t xml:space="preserve">Do not compete on gallery; ship project export/import so a KODO graduate can continue in Scratch, and market the bridge</t>
  </si>
  <si>
    <t xml:space="preserve">M9</t>
  </si>
  <si>
    <t xml:space="preserve">S2</t>
  </si>
  <si>
    <t xml:space="preserve">Loop 1</t>
  </si>
  <si>
    <t xml:space="preserve">Open</t>
  </si>
  <si>
    <t xml:space="preserve">IMP-002</t>
  </si>
  <si>
    <t xml:space="preserve">G5 Code.org</t>
  </si>
  <si>
    <t xml:space="preserve">Code.org offers a complete free classroom ecosystem with teacher training</t>
  </si>
  <si>
    <t xml:space="preserve">Ship printable unplugged worksheets + a 6-hour teacher onboarding, and price the school tier at zero for public schools in launch markets</t>
  </si>
  <si>
    <t xml:space="preserve">M12</t>
  </si>
  <si>
    <t xml:space="preserve">IMP-003</t>
  </si>
  <si>
    <t xml:space="preserve">G5 Duolingo</t>
  </si>
  <si>
    <t xml:space="preserve">Their scheduling and mastery mechanics are more refined than our first scheduler</t>
  </si>
  <si>
    <t xml:space="preserve">Adopt spaced-repetition scheduling with a forgetting curve per concept; A/B against the 60/20/20 fixed mix</t>
  </si>
  <si>
    <t xml:space="preserve">M7</t>
  </si>
  <si>
    <t xml:space="preserve">S3</t>
  </si>
  <si>
    <t xml:space="preserve">IMP-004</t>
  </si>
  <si>
    <t xml:space="preserve">G5 CodeSpark</t>
  </si>
  <si>
    <t xml:space="preserve">Their production polish and non-reader onboarding beat ours at age 8</t>
  </si>
  <si>
    <t xml:space="preserve">Fund a dedicated illustration/motion pass for Worlds 0-2 and remove all reading dependency from the first 15 minutes</t>
  </si>
  <si>
    <t xml:space="preserve">M5</t>
  </si>
  <si>
    <t xml:space="preserve">IMP-005</t>
  </si>
  <si>
    <t xml:space="preserve">Children abandon T1 build-to-target items when the target image is ambiguous</t>
  </si>
  <si>
    <t xml:space="preserve">Add an animated target preview showing the drawing being made once, before the child starts</t>
  </si>
  <si>
    <t xml:space="preserve">M6</t>
  </si>
  <si>
    <t xml:space="preserve">IMP-006</t>
  </si>
  <si>
    <t xml:space="preserve">Item telemetry</t>
  </si>
  <si>
    <t xml:space="preserve">Items below 35% pass rate cluster in C6.2 (assignment) and C7.2 (comparison)</t>
  </si>
  <si>
    <t xml:space="preserve">Rewrite those item sets with a stronger worked-example fade; add three misconception items each</t>
  </si>
  <si>
    <t xml:space="preserve">M18</t>
  </si>
  <si>
    <t xml:space="preserve">IMP-007</t>
  </si>
  <si>
    <t xml:space="preserve">G4 pass 3</t>
  </si>
  <si>
    <t xml:space="preserve">Hesitation &gt;8s at the block/text toggle: children do not know what it does</t>
  </si>
  <si>
    <t xml:space="preserve">Replace the toggle icon with an animated first-use demonstration and a one-line label</t>
  </si>
  <si>
    <t xml:space="preserve">M3</t>
  </si>
  <si>
    <t xml:space="preserve">IMP-008</t>
  </si>
  <si>
    <t xml:space="preserve">Teacher pilot</t>
  </si>
  <si>
    <t xml:space="preserve">Classroom offline seeding is too slow over one hotspot for 35 devices</t>
  </si>
  <si>
    <t xml:space="preserve">Add SD-card and USB pack sideloading with a checksum verification screen</t>
  </si>
  <si>
    <t xml:space="preserve">M14</t>
  </si>
  <si>
    <t xml:space="preserve">IMP-009</t>
  </si>
  <si>
    <t xml:space="preserve">Seat 13</t>
  </si>
  <si>
    <t xml:space="preserve">Camera-based backdrop capture creates a moderation surface we cannot staff at launch</t>
  </si>
  <si>
    <t xml:space="preserve">Disable camera capture in v1; keep import from gallery behind parental consent</t>
  </si>
  <si>
    <t xml:space="preserve">M4</t>
  </si>
  <si>
    <t xml:space="preserve">S1</t>
  </si>
  <si>
    <t xml:space="preserve">IMP-010</t>
  </si>
  <si>
    <t xml:space="preserve">G5 Swift Playgrounds</t>
  </si>
  <si>
    <t xml:space="preserve">Their text-code experience on tablet is better than our mobile text editor</t>
  </si>
  <si>
    <t xml:space="preserve">Invest in the programming keyboard row and inline error affordances before World 11 ships</t>
  </si>
  <si>
    <t xml:space="preserve">Severity: S1 = a child can be harmed, lose work or be blocked from learning · S2 = a concept is taught wrongly or a core flow fails on the reference device · S3 = friction or polish.</t>
  </si>
  <si>
    <t xml:space="preserve">Gate G4 — deep review finding log (template)</t>
  </si>
  <si>
    <t xml:space="preserve">One row per finding. Six passes per §14.2. A finding closes on evidence, not on a merged fix.</t>
  </si>
  <si>
    <t xml:space="preserve">Finding ID</t>
  </si>
  <si>
    <t xml:space="preserve">Pass</t>
  </si>
  <si>
    <t xml:space="preserve">Module / artefact</t>
  </si>
  <si>
    <t xml:space="preserve">Requirement</t>
  </si>
  <si>
    <t xml:space="preserve">What was observed (fact)</t>
  </si>
  <si>
    <t xml:space="preserve">Why it matters</t>
  </si>
  <si>
    <t xml:space="preserve">Fix</t>
  </si>
  <si>
    <t xml:space="preserve">Re-test date</t>
  </si>
  <si>
    <t xml:space="preserve">G4-001</t>
  </si>
  <si>
    <t xml:space="preserve">Pass 1 — conformance</t>
  </si>
  <si>
    <t xml:space="preserve">A correct square built with the turn before the move is graded as failed</t>
  </si>
  <si>
    <t xml:space="preserve">The grader penalises a valid alternative program; children learn that only one order is 'right'</t>
  </si>
  <si>
    <t xml:space="preserve">Runtime lead</t>
  </si>
  <si>
    <t xml:space="preserve">Normalise by path signature, not statement order</t>
  </si>
  <si>
    <t xml:space="preserve">G4-002</t>
  </si>
  <si>
    <t xml:space="preserve">Pass 2 — content</t>
  </si>
  <si>
    <t xml:space="preserve">World 3 items</t>
  </si>
  <si>
    <t xml:space="preserve">Failure message on item C3.3-07 reads 'Valeur invalide'</t>
  </si>
  <si>
    <t xml:space="preserve">A technical string reached a child's screen; violates FR-M1-10</t>
  </si>
  <si>
    <t xml:space="preserve">Rewrite to the diagnostic pattern; add CMS lint for banned strings</t>
  </si>
  <si>
    <t xml:space="preserve">G4-003</t>
  </si>
  <si>
    <t xml:space="preserve">Pass 3 — child run</t>
  </si>
  <si>
    <t xml:space="preserve">Two 8-year-olds could not drag a block accurately on a 5-inch screen; both abandoned</t>
  </si>
  <si>
    <t xml:space="preserve">Core interaction fails the reference device and the youngest band</t>
  </si>
  <si>
    <t xml:space="preserve">UX + Eng</t>
  </si>
  <si>
    <t xml:space="preserve">Ship tap-to-place as the default on phones</t>
  </si>
  <si>
    <t xml:space="preserve">G4-004</t>
  </si>
  <si>
    <t xml:space="preserve">Pass 5 — safety</t>
  </si>
  <si>
    <t xml:space="preserve">Display-name generator produced a name containing a real first name</t>
  </si>
  <si>
    <t xml:space="preserve">A child could be identified from a shared project</t>
  </si>
  <si>
    <t xml:space="preserve">Backend</t>
  </si>
  <si>
    <t xml:space="preserve">Curate the word list; add a blocklist test in CI</t>
  </si>
  <si>
    <t xml:space="preserve">Add one row per finding. The first four rows are worked examples of the expected level of detail; delete them before use.</t>
  </si>
  <si>
    <t xml:space="preserve">Risk register</t>
  </si>
  <si>
    <t xml:space="preserve">Probability and impact 1-5. Exposure = P x I (formula).</t>
  </si>
  <si>
    <t xml:space="preserve">Risk</t>
  </si>
  <si>
    <t xml:space="preserve">P (1-5)</t>
  </si>
  <si>
    <t xml:space="preserve">I (1-5)</t>
  </si>
  <si>
    <t xml:space="preserve">Exposure</t>
  </si>
  <si>
    <t xml:space="preserve">Response</t>
  </si>
  <si>
    <t xml:space="preserve">Review date</t>
  </si>
  <si>
    <t xml:space="preserve">R1</t>
  </si>
  <si>
    <t xml:space="preserve">Item authoring under-delivers; the bank is thin and mastery becomes a claim rather than a measurement</t>
  </si>
  <si>
    <t xml:space="preserve">Content</t>
  </si>
  <si>
    <t xml:space="preserve">Templates + partner-teacher pool + weekly burn-up at Committee. Scope is cut in worlds, never in items per concept.</t>
  </si>
  <si>
    <t xml:space="preserve">Seat 4</t>
  </si>
  <si>
    <t xml:space="preserve">R2</t>
  </si>
  <si>
    <t xml:space="preserve">Block editor performance fails on 2GB Android</t>
  </si>
  <si>
    <t xml:space="preserve">Engineering</t>
  </si>
  <si>
    <t xml:space="preserve">Performance budget fixed in P1; the reference device is the gate device; custom painter, no webview.</t>
  </si>
  <si>
    <t xml:space="preserve">Seat 9</t>
  </si>
  <si>
    <t xml:space="preserve">R3</t>
  </si>
  <si>
    <t xml:space="preserve">Dual representation round-tripping is harder than assumed</t>
  </si>
  <si>
    <t xml:space="preserve">Prototype the AST round-trip in P1 before anything else; fallback is read-only text through World 6.</t>
  </si>
  <si>
    <t xml:space="preserve">Seat 8</t>
  </si>
  <si>
    <t xml:space="preserve">R4</t>
  </si>
  <si>
    <t xml:space="preserve">Offline content packs exceed device storage</t>
  </si>
  <si>
    <t xml:space="preserve">Per-world size budget in CI; Opus audio; vector art.</t>
  </si>
  <si>
    <t xml:space="preserve">R5</t>
  </si>
  <si>
    <t xml:space="preserve">Safety and compliance rework arrives late</t>
  </si>
  <si>
    <t xml:space="preserve">Compliance</t>
  </si>
  <si>
    <t xml:space="preserve">Seat 13 embedded from P1; consent flows designed before the first account screen exists.</t>
  </si>
  <si>
    <t xml:space="preserve">R6</t>
  </si>
  <si>
    <t xml:space="preserve">We build a smaller Scratch and lose on every axis</t>
  </si>
  <si>
    <t xml:space="preserve">Strategy</t>
  </si>
  <si>
    <t xml:space="preserve">The G5 protocol exists to detect this; the differentiators of §15.3 are treated as requirements, not marketing.</t>
  </si>
  <si>
    <t xml:space="preserve">R7</t>
  </si>
  <si>
    <t xml:space="preserve">Voice-over cost and re-recording after content changes</t>
  </si>
  <si>
    <t xml:space="preserve">Freeze narration copy per world before recording; hold a 15% re-record reserve.</t>
  </si>
  <si>
    <t xml:space="preserve">Seat 11</t>
  </si>
  <si>
    <t xml:space="preserve">R8</t>
  </si>
  <si>
    <t xml:space="preserve">Committee decision drift: enthusiasm outranks evidence</t>
  </si>
  <si>
    <t xml:space="preserve">Governance</t>
  </si>
  <si>
    <t xml:space="preserve">Dissent log, consent rule, third-line independent review before G5 and before launch.</t>
  </si>
  <si>
    <t xml:space="preserve">Seat 2</t>
  </si>
  <si>
    <t xml:space="preserve">R9</t>
  </si>
  <si>
    <t xml:space="preserve">No sustainable funding model decided (Annex E, Q1)</t>
  </si>
  <si>
    <t xml:space="preserve">Business</t>
  </si>
  <si>
    <t xml:space="preserve">Product Owner decision required at G1; roadmap P2 onward depends on it.</t>
  </si>
  <si>
    <t xml:space="preserve">R9 is the only risk whose response is outside the Committee's authority.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</si>
</sst>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2" customFormat="false" ht="15" hidden="false" customHeight="false" outlineLevel="0" collapsed="false">
      <c r="A12" s="4" t="s">
        <v>18</v>
      </c>
      <c r="B12" s="5" t="s">
        <v>19</v>
      </c>
    </row>
    <row r="13" customFormat="false" ht="15" hidden="false" customHeight="false" outlineLevel="0" collapsed="false">
      <c r="A13" s="4" t="s">
        <v>20</v>
      </c>
      <c r="B13" s="5" t="s">
        <v>21</v>
      </c>
    </row>
    <row r="14" customFormat="false" ht="15" hidden="false" customHeight="false" outlineLevel="0" collapsed="false">
      <c r="A14" s="4"/>
      <c r="B14" s="5"/>
    </row>
    <row r="15" customFormat="false" ht="23.85" hidden="false" customHeight="false" outlineLevel="0" collapsed="false">
      <c r="A15" s="4"/>
      <c r="B15" s="5" t="s">
        <v>22</v>
      </c>
    </row>
    <row r="16" customFormat="false" ht="15" hidden="false" customHeight="false" outlineLevel="0" collapsed="false">
      <c r="A16" s="4" t="s">
        <v>23</v>
      </c>
      <c r="B16" s="5" t="s">
        <v>24</v>
      </c>
    </row>
    <row r="17" customFormat="false" ht="23.85" hidden="false" customHeight="false" outlineLevel="0" collapsed="false">
      <c r="A17" s="4" t="s">
        <v>25</v>
      </c>
      <c r="B17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30" hidden="false" customHeight="true" outlineLevel="0" collapsed="false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</row>
    <row r="5" customFormat="false" ht="15" hidden="false" customHeight="false" outlineLevel="0" collapsed="false">
      <c r="A5" s="5" t="n">
        <v>1</v>
      </c>
      <c r="B5" s="5" t="s">
        <v>38</v>
      </c>
      <c r="C5" s="5" t="s">
        <v>39</v>
      </c>
      <c r="D5" s="6" t="s">
        <v>40</v>
      </c>
      <c r="E5" s="6" t="s">
        <v>40</v>
      </c>
      <c r="F5" s="7" t="s">
        <v>41</v>
      </c>
      <c r="G5" s="7" t="s">
        <v>42</v>
      </c>
      <c r="H5" s="6" t="s">
        <v>40</v>
      </c>
      <c r="I5" s="6" t="s">
        <v>40</v>
      </c>
    </row>
    <row r="6" customFormat="false" ht="15" hidden="false" customHeight="false" outlineLevel="0" collapsed="false">
      <c r="A6" s="5" t="n">
        <v>2</v>
      </c>
      <c r="B6" s="5" t="s">
        <v>43</v>
      </c>
      <c r="C6" s="5" t="s">
        <v>44</v>
      </c>
      <c r="D6" s="7" t="s">
        <v>45</v>
      </c>
      <c r="E6" s="7" t="s">
        <v>45</v>
      </c>
      <c r="F6" s="7" t="s">
        <v>45</v>
      </c>
      <c r="G6" s="7" t="s">
        <v>41</v>
      </c>
      <c r="H6" s="7" t="s">
        <v>45</v>
      </c>
      <c r="I6" s="7" t="s">
        <v>45</v>
      </c>
    </row>
    <row r="7" customFormat="false" ht="15" hidden="false" customHeight="false" outlineLevel="0" collapsed="false">
      <c r="A7" s="5" t="n">
        <v>3</v>
      </c>
      <c r="B7" s="5" t="s">
        <v>46</v>
      </c>
      <c r="C7" s="5" t="s">
        <v>47</v>
      </c>
      <c r="D7" s="7" t="s">
        <v>41</v>
      </c>
      <c r="E7" s="7" t="s">
        <v>45</v>
      </c>
      <c r="F7" s="7" t="s">
        <v>41</v>
      </c>
      <c r="G7" s="7" t="s">
        <v>41</v>
      </c>
      <c r="H7" s="7" t="s">
        <v>45</v>
      </c>
      <c r="I7" s="7" t="s">
        <v>45</v>
      </c>
    </row>
    <row r="8" customFormat="false" ht="15" hidden="false" customHeight="false" outlineLevel="0" collapsed="false">
      <c r="A8" s="5" t="n">
        <v>4</v>
      </c>
      <c r="B8" s="5" t="s">
        <v>48</v>
      </c>
      <c r="C8" s="5" t="s">
        <v>49</v>
      </c>
      <c r="D8" s="7" t="s">
        <v>41</v>
      </c>
      <c r="E8" s="7" t="s">
        <v>45</v>
      </c>
      <c r="F8" s="7" t="s">
        <v>45</v>
      </c>
      <c r="G8" s="7" t="s">
        <v>41</v>
      </c>
      <c r="H8" s="7" t="s">
        <v>45</v>
      </c>
      <c r="I8" s="7" t="s">
        <v>41</v>
      </c>
    </row>
    <row r="9" customFormat="false" ht="15" hidden="false" customHeight="false" outlineLevel="0" collapsed="false">
      <c r="A9" s="5" t="n">
        <v>5</v>
      </c>
      <c r="B9" s="5" t="s">
        <v>50</v>
      </c>
      <c r="C9" s="5" t="s">
        <v>51</v>
      </c>
      <c r="D9" s="7" t="s">
        <v>41</v>
      </c>
      <c r="E9" s="7" t="s">
        <v>41</v>
      </c>
      <c r="F9" s="7" t="s">
        <v>42</v>
      </c>
      <c r="G9" s="7" t="s">
        <v>41</v>
      </c>
      <c r="H9" s="7" t="s">
        <v>45</v>
      </c>
      <c r="I9" s="7" t="s">
        <v>41</v>
      </c>
    </row>
    <row r="10" customFormat="false" ht="15" hidden="false" customHeight="false" outlineLevel="0" collapsed="false">
      <c r="A10" s="5" t="n">
        <v>6</v>
      </c>
      <c r="B10" s="5" t="s">
        <v>52</v>
      </c>
      <c r="C10" s="5" t="s">
        <v>53</v>
      </c>
      <c r="D10" s="7" t="s">
        <v>42</v>
      </c>
      <c r="E10" s="7" t="s">
        <v>41</v>
      </c>
      <c r="F10" s="7" t="s">
        <v>45</v>
      </c>
      <c r="G10" s="7" t="s">
        <v>41</v>
      </c>
      <c r="H10" s="7" t="s">
        <v>41</v>
      </c>
      <c r="I10" s="7" t="s">
        <v>45</v>
      </c>
    </row>
    <row r="11" customFormat="false" ht="15" hidden="false" customHeight="false" outlineLevel="0" collapsed="false">
      <c r="A11" s="5" t="n">
        <v>7</v>
      </c>
      <c r="B11" s="5" t="s">
        <v>54</v>
      </c>
      <c r="C11" s="5" t="s">
        <v>55</v>
      </c>
      <c r="D11" s="7" t="s">
        <v>41</v>
      </c>
      <c r="E11" s="7" t="s">
        <v>45</v>
      </c>
      <c r="F11" s="7" t="s">
        <v>45</v>
      </c>
      <c r="G11" s="7" t="s">
        <v>41</v>
      </c>
      <c r="H11" s="7" t="s">
        <v>45</v>
      </c>
      <c r="I11" s="7" t="s">
        <v>45</v>
      </c>
    </row>
    <row r="12" customFormat="false" ht="15" hidden="false" customHeight="false" outlineLevel="0" collapsed="false">
      <c r="A12" s="5" t="n">
        <v>8</v>
      </c>
      <c r="B12" s="5" t="s">
        <v>56</v>
      </c>
      <c r="C12" s="5" t="s">
        <v>57</v>
      </c>
      <c r="D12" s="7" t="s">
        <v>41</v>
      </c>
      <c r="E12" s="7" t="s">
        <v>41</v>
      </c>
      <c r="F12" s="6" t="s">
        <v>40</v>
      </c>
      <c r="G12" s="7" t="s">
        <v>45</v>
      </c>
      <c r="H12" s="7" t="s">
        <v>41</v>
      </c>
      <c r="I12" s="7" t="s">
        <v>41</v>
      </c>
    </row>
    <row r="13" customFormat="false" ht="15" hidden="false" customHeight="false" outlineLevel="0" collapsed="false">
      <c r="A13" s="5" t="n">
        <v>9</v>
      </c>
      <c r="B13" s="5" t="s">
        <v>58</v>
      </c>
      <c r="C13" s="5" t="s">
        <v>59</v>
      </c>
      <c r="D13" s="7" t="s">
        <v>41</v>
      </c>
      <c r="E13" s="7" t="s">
        <v>41</v>
      </c>
      <c r="F13" s="6" t="s">
        <v>40</v>
      </c>
      <c r="G13" s="6" t="s">
        <v>40</v>
      </c>
      <c r="H13" s="7" t="s">
        <v>41</v>
      </c>
      <c r="I13" s="7" t="s">
        <v>41</v>
      </c>
    </row>
    <row r="14" customFormat="false" ht="15" hidden="false" customHeight="false" outlineLevel="0" collapsed="false">
      <c r="A14" s="5" t="n">
        <v>10</v>
      </c>
      <c r="B14" s="5" t="s">
        <v>60</v>
      </c>
      <c r="C14" s="5" t="s">
        <v>61</v>
      </c>
      <c r="D14" s="7" t="s">
        <v>42</v>
      </c>
      <c r="E14" s="7" t="s">
        <v>41</v>
      </c>
      <c r="F14" s="7" t="s">
        <v>45</v>
      </c>
      <c r="G14" s="7" t="s">
        <v>45</v>
      </c>
      <c r="H14" s="7" t="s">
        <v>45</v>
      </c>
      <c r="I14" s="7" t="s">
        <v>41</v>
      </c>
    </row>
    <row r="15" customFormat="false" ht="15" hidden="false" customHeight="false" outlineLevel="0" collapsed="false">
      <c r="A15" s="5" t="n">
        <v>11</v>
      </c>
      <c r="B15" s="5" t="s">
        <v>62</v>
      </c>
      <c r="C15" s="5" t="s">
        <v>63</v>
      </c>
      <c r="D15" s="7" t="s">
        <v>41</v>
      </c>
      <c r="E15" s="7" t="s">
        <v>41</v>
      </c>
      <c r="F15" s="7" t="s">
        <v>41</v>
      </c>
      <c r="G15" s="7" t="s">
        <v>45</v>
      </c>
      <c r="H15" s="7" t="s">
        <v>45</v>
      </c>
      <c r="I15" s="7" t="s">
        <v>41</v>
      </c>
    </row>
    <row r="16" customFormat="false" ht="15" hidden="false" customHeight="false" outlineLevel="0" collapsed="false">
      <c r="A16" s="5" t="n">
        <v>12</v>
      </c>
      <c r="B16" s="5" t="s">
        <v>64</v>
      </c>
      <c r="C16" s="5" t="s">
        <v>65</v>
      </c>
      <c r="D16" s="7" t="s">
        <v>41</v>
      </c>
      <c r="E16" s="7" t="s">
        <v>41</v>
      </c>
      <c r="F16" s="7" t="s">
        <v>42</v>
      </c>
      <c r="G16" s="7" t="s">
        <v>41</v>
      </c>
      <c r="H16" s="7" t="s">
        <v>45</v>
      </c>
      <c r="I16" s="7" t="s">
        <v>45</v>
      </c>
    </row>
    <row r="17" customFormat="false" ht="15" hidden="false" customHeight="false" outlineLevel="0" collapsed="false">
      <c r="A17" s="5" t="n">
        <v>13</v>
      </c>
      <c r="B17" s="5" t="s">
        <v>66</v>
      </c>
      <c r="C17" s="5" t="s">
        <v>67</v>
      </c>
      <c r="D17" s="7" t="s">
        <v>41</v>
      </c>
      <c r="E17" s="7" t="s">
        <v>45</v>
      </c>
      <c r="F17" s="7" t="s">
        <v>41</v>
      </c>
      <c r="G17" s="7" t="s">
        <v>41</v>
      </c>
      <c r="H17" s="6" t="s">
        <v>40</v>
      </c>
      <c r="I17" s="7" t="s">
        <v>41</v>
      </c>
    </row>
    <row r="18" customFormat="false" ht="15" hidden="false" customHeight="false" outlineLevel="0" collapsed="false">
      <c r="A18" s="5" t="n">
        <v>14</v>
      </c>
      <c r="B18" s="5" t="s">
        <v>68</v>
      </c>
      <c r="C18" s="5" t="s">
        <v>69</v>
      </c>
      <c r="D18" s="7" t="s">
        <v>42</v>
      </c>
      <c r="E18" s="7" t="s">
        <v>41</v>
      </c>
      <c r="F18" s="7" t="s">
        <v>41</v>
      </c>
      <c r="G18" s="7" t="s">
        <v>45</v>
      </c>
      <c r="H18" s="6" t="s">
        <v>40</v>
      </c>
      <c r="I18" s="7" t="s">
        <v>41</v>
      </c>
    </row>
    <row r="19" customFormat="false" ht="15" hidden="false" customHeight="false" outlineLevel="0" collapsed="false">
      <c r="A19" s="5" t="s">
        <v>70</v>
      </c>
      <c r="B19" s="5" t="s">
        <v>71</v>
      </c>
      <c r="C19" s="5" t="s">
        <v>72</v>
      </c>
      <c r="D19" s="7"/>
      <c r="E19" s="7"/>
      <c r="F19" s="7"/>
      <c r="G19" s="7" t="s">
        <v>41</v>
      </c>
      <c r="H19" s="7" t="s">
        <v>45</v>
      </c>
      <c r="I19" s="7" t="s">
        <v>41</v>
      </c>
    </row>
    <row r="20" customFormat="false" ht="15" hidden="false" customHeight="false" outlineLevel="0" collapsed="false">
      <c r="A20" s="5" t="s">
        <v>70</v>
      </c>
      <c r="B20" s="5" t="s">
        <v>73</v>
      </c>
      <c r="C20" s="5" t="s">
        <v>74</v>
      </c>
      <c r="D20" s="7"/>
      <c r="E20" s="7" t="s">
        <v>41</v>
      </c>
      <c r="F20" s="7"/>
      <c r="G20" s="7" t="s">
        <v>41</v>
      </c>
      <c r="H20" s="7" t="s">
        <v>45</v>
      </c>
      <c r="I20" s="7" t="s">
        <v>41</v>
      </c>
    </row>
    <row r="21" customFormat="false" ht="23.85" hidden="false" customHeight="false" outlineLevel="0" collapsed="false">
      <c r="A21" s="5" t="s">
        <v>75</v>
      </c>
      <c r="B21" s="5" t="s">
        <v>76</v>
      </c>
      <c r="C21" s="5" t="s">
        <v>77</v>
      </c>
      <c r="D21" s="7"/>
      <c r="E21" s="7"/>
      <c r="F21" s="7"/>
      <c r="G21" s="7"/>
      <c r="H21" s="7" t="s">
        <v>41</v>
      </c>
      <c r="I21" s="7" t="s">
        <v>45</v>
      </c>
    </row>
    <row r="23" customFormat="false" ht="15" hidden="false" customHeight="false" outlineLevel="0" collapsed="false">
      <c r="B23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4" customFormat="false" ht="30" hidden="false" customHeight="true" outlineLevel="0" collapsed="false">
      <c r="A4" s="3" t="s">
        <v>81</v>
      </c>
      <c r="B4" s="3" t="s">
        <v>82</v>
      </c>
      <c r="C4" s="3" t="s">
        <v>83</v>
      </c>
      <c r="D4" s="3" t="s">
        <v>84</v>
      </c>
      <c r="E4" s="3" t="s">
        <v>85</v>
      </c>
      <c r="F4" s="3" t="s">
        <v>86</v>
      </c>
      <c r="G4" s="3" t="s">
        <v>87</v>
      </c>
    </row>
    <row r="5" customFormat="false" ht="15" hidden="false" customHeight="false" outlineLevel="0" collapsed="false">
      <c r="A5" s="5" t="s">
        <v>88</v>
      </c>
      <c r="B5" s="5" t="s">
        <v>89</v>
      </c>
      <c r="C5" s="5" t="s">
        <v>90</v>
      </c>
      <c r="D5" s="5" t="s">
        <v>91</v>
      </c>
      <c r="E5" s="5" t="s">
        <v>92</v>
      </c>
      <c r="F5" s="8" t="s">
        <v>93</v>
      </c>
      <c r="G5" s="8"/>
    </row>
    <row r="6" customFormat="false" ht="23.85" hidden="false" customHeight="false" outlineLevel="0" collapsed="false">
      <c r="A6" s="5" t="s">
        <v>94</v>
      </c>
      <c r="B6" s="5" t="s">
        <v>95</v>
      </c>
      <c r="C6" s="5" t="s">
        <v>96</v>
      </c>
      <c r="D6" s="5" t="s">
        <v>38</v>
      </c>
      <c r="E6" s="5" t="s">
        <v>97</v>
      </c>
      <c r="F6" s="8" t="s">
        <v>98</v>
      </c>
      <c r="G6" s="8"/>
    </row>
    <row r="7" customFormat="false" ht="23.85" hidden="false" customHeight="false" outlineLevel="0" collapsed="false">
      <c r="A7" s="5" t="s">
        <v>99</v>
      </c>
      <c r="B7" s="5" t="s">
        <v>100</v>
      </c>
      <c r="C7" s="5" t="s">
        <v>101</v>
      </c>
      <c r="D7" s="5" t="s">
        <v>102</v>
      </c>
      <c r="E7" s="5" t="s">
        <v>103</v>
      </c>
      <c r="F7" s="8" t="s">
        <v>104</v>
      </c>
      <c r="G7" s="8"/>
    </row>
    <row r="8" customFormat="false" ht="23.85" hidden="false" customHeight="false" outlineLevel="0" collapsed="false">
      <c r="A8" s="5" t="s">
        <v>105</v>
      </c>
      <c r="B8" s="5" t="s">
        <v>106</v>
      </c>
      <c r="C8" s="5" t="s">
        <v>107</v>
      </c>
      <c r="D8" s="5" t="s">
        <v>108</v>
      </c>
      <c r="E8" s="5" t="s">
        <v>109</v>
      </c>
      <c r="F8" s="8" t="s">
        <v>104</v>
      </c>
      <c r="G8" s="8"/>
    </row>
    <row r="9" customFormat="false" ht="23.85" hidden="false" customHeight="false" outlineLevel="0" collapsed="false">
      <c r="A9" s="5" t="s">
        <v>110</v>
      </c>
      <c r="B9" s="5" t="s">
        <v>111</v>
      </c>
      <c r="C9" s="5" t="s">
        <v>112</v>
      </c>
      <c r="D9" s="5" t="s">
        <v>113</v>
      </c>
      <c r="E9" s="5" t="s">
        <v>114</v>
      </c>
      <c r="F9" s="8" t="s">
        <v>104</v>
      </c>
      <c r="G9" s="8"/>
    </row>
    <row r="10" customFormat="false" ht="23.85" hidden="false" customHeight="false" outlineLevel="0" collapsed="false">
      <c r="A10" s="5" t="s">
        <v>115</v>
      </c>
      <c r="B10" s="5" t="s">
        <v>116</v>
      </c>
      <c r="C10" s="5" t="s">
        <v>117</v>
      </c>
      <c r="D10" s="5" t="s">
        <v>118</v>
      </c>
      <c r="E10" s="5" t="s">
        <v>119</v>
      </c>
      <c r="F10" s="8" t="s">
        <v>104</v>
      </c>
      <c r="G10" s="8"/>
    </row>
  </sheetData>
  <dataValidations count="1">
    <dataValidation allowBlank="true" errorStyle="stop" operator="between" showDropDown="false" showErrorMessage="false" showInputMessage="false" sqref="F5:F10" type="list">
      <formula1>"Not started,In progress,In review,Blocked,Done"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46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30" hidden="false" customHeight="true" outlineLevel="0" collapsed="false">
      <c r="A4" s="3" t="s">
        <v>122</v>
      </c>
      <c r="B4" s="3" t="s">
        <v>123</v>
      </c>
      <c r="C4" s="3" t="s">
        <v>124</v>
      </c>
      <c r="D4" s="3" t="s">
        <v>125</v>
      </c>
      <c r="E4" s="3" t="s">
        <v>126</v>
      </c>
      <c r="F4" s="3" t="s">
        <v>127</v>
      </c>
      <c r="G4" s="3" t="s">
        <v>128</v>
      </c>
      <c r="H4" s="3" t="s">
        <v>129</v>
      </c>
      <c r="I4" s="3" t="s">
        <v>130</v>
      </c>
      <c r="J4" s="3" t="s">
        <v>131</v>
      </c>
      <c r="K4" s="3" t="s">
        <v>132</v>
      </c>
    </row>
    <row r="5" customFormat="false" ht="15" hidden="false" customHeight="false" outlineLevel="0" collapsed="false">
      <c r="A5" s="7" t="n">
        <v>0</v>
      </c>
      <c r="B5" s="5" t="s">
        <v>133</v>
      </c>
      <c r="C5" s="5" t="s">
        <v>134</v>
      </c>
      <c r="D5" s="5" t="s">
        <v>135</v>
      </c>
      <c r="E5" s="5" t="s">
        <v>136</v>
      </c>
      <c r="F5" s="5" t="s">
        <v>137</v>
      </c>
      <c r="G5" s="7" t="s">
        <v>138</v>
      </c>
      <c r="H5" s="7" t="n">
        <v>18</v>
      </c>
      <c r="I5" s="5" t="s">
        <v>139</v>
      </c>
      <c r="J5" s="5" t="s">
        <v>140</v>
      </c>
      <c r="K5" s="5" t="s">
        <v>141</v>
      </c>
    </row>
    <row r="6" customFormat="false" ht="15" hidden="false" customHeight="false" outlineLevel="0" collapsed="false">
      <c r="A6" s="7" t="n">
        <v>0</v>
      </c>
      <c r="B6" s="5" t="s">
        <v>133</v>
      </c>
      <c r="C6" s="5" t="s">
        <v>142</v>
      </c>
      <c r="D6" s="5" t="s">
        <v>143</v>
      </c>
      <c r="E6" s="5" t="s">
        <v>144</v>
      </c>
      <c r="F6" s="5" t="s">
        <v>134</v>
      </c>
      <c r="G6" s="7" t="s">
        <v>138</v>
      </c>
      <c r="H6" s="7" t="n">
        <v>20</v>
      </c>
      <c r="I6" s="5" t="s">
        <v>145</v>
      </c>
      <c r="J6" s="5" t="s">
        <v>146</v>
      </c>
      <c r="K6" s="5" t="s">
        <v>141</v>
      </c>
    </row>
    <row r="7" customFormat="false" ht="15" hidden="false" customHeight="false" outlineLevel="0" collapsed="false">
      <c r="A7" s="7" t="n">
        <v>0</v>
      </c>
      <c r="B7" s="5" t="s">
        <v>133</v>
      </c>
      <c r="C7" s="5" t="s">
        <v>147</v>
      </c>
      <c r="D7" s="5" t="s">
        <v>148</v>
      </c>
      <c r="E7" s="5" t="s">
        <v>149</v>
      </c>
      <c r="F7" s="5" t="s">
        <v>142</v>
      </c>
      <c r="G7" s="7" t="s">
        <v>138</v>
      </c>
      <c r="H7" s="7" t="n">
        <v>18</v>
      </c>
      <c r="I7" s="5" t="s">
        <v>150</v>
      </c>
      <c r="J7" s="5" t="s">
        <v>151</v>
      </c>
      <c r="K7" s="5" t="s">
        <v>152</v>
      </c>
    </row>
    <row r="8" customFormat="false" ht="15" hidden="false" customHeight="false" outlineLevel="0" collapsed="false">
      <c r="A8" s="7" t="n">
        <v>0</v>
      </c>
      <c r="B8" s="5" t="s">
        <v>133</v>
      </c>
      <c r="C8" s="5" t="s">
        <v>153</v>
      </c>
      <c r="D8" s="5" t="s">
        <v>154</v>
      </c>
      <c r="E8" s="5" t="s">
        <v>155</v>
      </c>
      <c r="F8" s="5" t="s">
        <v>134</v>
      </c>
      <c r="G8" s="7" t="s">
        <v>138</v>
      </c>
      <c r="H8" s="7" t="n">
        <v>18</v>
      </c>
      <c r="I8" s="5" t="s">
        <v>156</v>
      </c>
      <c r="J8" s="5" t="s">
        <v>157</v>
      </c>
      <c r="K8" s="5" t="s">
        <v>158</v>
      </c>
    </row>
    <row r="9" customFormat="false" ht="15" hidden="false" customHeight="false" outlineLevel="0" collapsed="false">
      <c r="A9" s="7" t="n">
        <v>1</v>
      </c>
      <c r="B9" s="5" t="s">
        <v>159</v>
      </c>
      <c r="C9" s="5" t="s">
        <v>160</v>
      </c>
      <c r="D9" s="5" t="s">
        <v>161</v>
      </c>
      <c r="E9" s="5" t="s">
        <v>162</v>
      </c>
      <c r="F9" s="5" t="s">
        <v>142</v>
      </c>
      <c r="G9" s="7" t="s">
        <v>138</v>
      </c>
      <c r="H9" s="7" t="n">
        <v>22</v>
      </c>
      <c r="I9" s="5" t="s">
        <v>163</v>
      </c>
      <c r="J9" s="5" t="s">
        <v>164</v>
      </c>
      <c r="K9" s="5" t="s">
        <v>165</v>
      </c>
    </row>
    <row r="10" customFormat="false" ht="15" hidden="false" customHeight="false" outlineLevel="0" collapsed="false">
      <c r="A10" s="7" t="n">
        <v>1</v>
      </c>
      <c r="B10" s="5" t="s">
        <v>159</v>
      </c>
      <c r="C10" s="5" t="s">
        <v>166</v>
      </c>
      <c r="D10" s="5" t="s">
        <v>167</v>
      </c>
      <c r="E10" s="5" t="s">
        <v>168</v>
      </c>
      <c r="F10" s="5" t="s">
        <v>160</v>
      </c>
      <c r="G10" s="7" t="s">
        <v>138</v>
      </c>
      <c r="H10" s="7" t="n">
        <v>22</v>
      </c>
      <c r="I10" s="5" t="s">
        <v>169</v>
      </c>
      <c r="J10" s="5" t="s">
        <v>170</v>
      </c>
      <c r="K10" s="5" t="s">
        <v>165</v>
      </c>
    </row>
    <row r="11" customFormat="false" ht="15" hidden="false" customHeight="false" outlineLevel="0" collapsed="false">
      <c r="A11" s="7" t="n">
        <v>1</v>
      </c>
      <c r="B11" s="5" t="s">
        <v>159</v>
      </c>
      <c r="C11" s="5" t="s">
        <v>171</v>
      </c>
      <c r="D11" s="5" t="s">
        <v>172</v>
      </c>
      <c r="E11" s="5" t="s">
        <v>173</v>
      </c>
      <c r="F11" s="5" t="s">
        <v>166</v>
      </c>
      <c r="G11" s="7" t="s">
        <v>138</v>
      </c>
      <c r="H11" s="7" t="n">
        <v>20</v>
      </c>
      <c r="I11" s="5" t="s">
        <v>174</v>
      </c>
      <c r="J11" s="5" t="s">
        <v>175</v>
      </c>
      <c r="K11" s="5" t="s">
        <v>176</v>
      </c>
    </row>
    <row r="12" customFormat="false" ht="15" hidden="false" customHeight="false" outlineLevel="0" collapsed="false">
      <c r="A12" s="7" t="n">
        <v>1</v>
      </c>
      <c r="B12" s="5" t="s">
        <v>159</v>
      </c>
      <c r="C12" s="5" t="s">
        <v>177</v>
      </c>
      <c r="D12" s="5" t="s">
        <v>178</v>
      </c>
      <c r="E12" s="5" t="s">
        <v>179</v>
      </c>
      <c r="F12" s="5" t="s">
        <v>160</v>
      </c>
      <c r="G12" s="7" t="s">
        <v>138</v>
      </c>
      <c r="H12" s="7" t="n">
        <v>18</v>
      </c>
      <c r="I12" s="5" t="s">
        <v>180</v>
      </c>
      <c r="J12" s="5" t="s">
        <v>181</v>
      </c>
      <c r="K12" s="5" t="s">
        <v>182</v>
      </c>
    </row>
    <row r="13" customFormat="false" ht="15" hidden="false" customHeight="false" outlineLevel="0" collapsed="false">
      <c r="A13" s="7" t="n">
        <v>1</v>
      </c>
      <c r="B13" s="5" t="s">
        <v>159</v>
      </c>
      <c r="C13" s="5" t="s">
        <v>183</v>
      </c>
      <c r="D13" s="5" t="s">
        <v>184</v>
      </c>
      <c r="E13" s="5" t="s">
        <v>185</v>
      </c>
      <c r="F13" s="5" t="s">
        <v>160</v>
      </c>
      <c r="G13" s="7" t="s">
        <v>186</v>
      </c>
      <c r="H13" s="7" t="n">
        <v>18</v>
      </c>
      <c r="I13" s="5" t="s">
        <v>187</v>
      </c>
      <c r="J13" s="5" t="s">
        <v>188</v>
      </c>
      <c r="K13" s="5" t="s">
        <v>152</v>
      </c>
    </row>
    <row r="14" customFormat="false" ht="23.85" hidden="false" customHeight="false" outlineLevel="0" collapsed="false">
      <c r="A14" s="7" t="n">
        <v>2</v>
      </c>
      <c r="B14" s="5" t="s">
        <v>189</v>
      </c>
      <c r="C14" s="5" t="s">
        <v>190</v>
      </c>
      <c r="D14" s="5" t="s">
        <v>191</v>
      </c>
      <c r="E14" s="5" t="s">
        <v>192</v>
      </c>
      <c r="F14" s="5" t="s">
        <v>166</v>
      </c>
      <c r="G14" s="7" t="s">
        <v>138</v>
      </c>
      <c r="H14" s="7" t="n">
        <v>22</v>
      </c>
      <c r="I14" s="5" t="s">
        <v>193</v>
      </c>
      <c r="J14" s="5" t="s">
        <v>194</v>
      </c>
      <c r="K14" s="5" t="s">
        <v>195</v>
      </c>
    </row>
    <row r="15" customFormat="false" ht="15" hidden="false" customHeight="false" outlineLevel="0" collapsed="false">
      <c r="A15" s="7" t="n">
        <v>2</v>
      </c>
      <c r="B15" s="5" t="s">
        <v>189</v>
      </c>
      <c r="C15" s="5" t="s">
        <v>196</v>
      </c>
      <c r="D15" s="5" t="s">
        <v>197</v>
      </c>
      <c r="E15" s="5" t="s">
        <v>198</v>
      </c>
      <c r="F15" s="5" t="s">
        <v>190</v>
      </c>
      <c r="G15" s="7" t="s">
        <v>186</v>
      </c>
      <c r="H15" s="7" t="n">
        <v>22</v>
      </c>
      <c r="I15" s="5" t="s">
        <v>199</v>
      </c>
      <c r="J15" s="5" t="s">
        <v>200</v>
      </c>
      <c r="K15" s="5" t="s">
        <v>201</v>
      </c>
    </row>
    <row r="16" customFormat="false" ht="23.85" hidden="false" customHeight="false" outlineLevel="0" collapsed="false">
      <c r="A16" s="7" t="n">
        <v>2</v>
      </c>
      <c r="B16" s="5" t="s">
        <v>189</v>
      </c>
      <c r="C16" s="5" t="s">
        <v>202</v>
      </c>
      <c r="D16" s="5" t="s">
        <v>203</v>
      </c>
      <c r="E16" s="5" t="s">
        <v>204</v>
      </c>
      <c r="F16" s="5" t="s">
        <v>196</v>
      </c>
      <c r="G16" s="7" t="s">
        <v>186</v>
      </c>
      <c r="H16" s="7" t="n">
        <v>22</v>
      </c>
      <c r="I16" s="5" t="s">
        <v>205</v>
      </c>
      <c r="J16" s="5" t="s">
        <v>206</v>
      </c>
      <c r="K16" s="5" t="s">
        <v>207</v>
      </c>
    </row>
    <row r="17" customFormat="false" ht="15" hidden="false" customHeight="false" outlineLevel="0" collapsed="false">
      <c r="A17" s="7" t="n">
        <v>2</v>
      </c>
      <c r="B17" s="5" t="s">
        <v>189</v>
      </c>
      <c r="C17" s="5" t="s">
        <v>208</v>
      </c>
      <c r="D17" s="5" t="s">
        <v>209</v>
      </c>
      <c r="E17" s="5" t="s">
        <v>210</v>
      </c>
      <c r="F17" s="5" t="s">
        <v>190</v>
      </c>
      <c r="G17" s="7" t="s">
        <v>186</v>
      </c>
      <c r="H17" s="7" t="n">
        <v>18</v>
      </c>
      <c r="I17" s="5" t="s">
        <v>211</v>
      </c>
      <c r="J17" s="5" t="s">
        <v>212</v>
      </c>
      <c r="K17" s="5" t="s">
        <v>213</v>
      </c>
    </row>
    <row r="18" customFormat="false" ht="15" hidden="false" customHeight="false" outlineLevel="0" collapsed="false">
      <c r="A18" s="7" t="n">
        <v>3</v>
      </c>
      <c r="B18" s="5" t="s">
        <v>214</v>
      </c>
      <c r="C18" s="5" t="s">
        <v>215</v>
      </c>
      <c r="D18" s="5" t="s">
        <v>216</v>
      </c>
      <c r="E18" s="5" t="s">
        <v>217</v>
      </c>
      <c r="F18" s="5" t="s">
        <v>177</v>
      </c>
      <c r="G18" s="7" t="s">
        <v>138</v>
      </c>
      <c r="H18" s="7" t="n">
        <v>20</v>
      </c>
      <c r="I18" s="5" t="s">
        <v>218</v>
      </c>
      <c r="J18" s="5" t="s">
        <v>219</v>
      </c>
      <c r="K18" s="5" t="s">
        <v>182</v>
      </c>
    </row>
    <row r="19" customFormat="false" ht="15" hidden="false" customHeight="false" outlineLevel="0" collapsed="false">
      <c r="A19" s="7" t="n">
        <v>3</v>
      </c>
      <c r="B19" s="5" t="s">
        <v>214</v>
      </c>
      <c r="C19" s="5" t="s">
        <v>220</v>
      </c>
      <c r="D19" s="5" t="s">
        <v>221</v>
      </c>
      <c r="E19" s="5" t="s">
        <v>222</v>
      </c>
      <c r="F19" s="5" t="s">
        <v>215</v>
      </c>
      <c r="G19" s="7" t="s">
        <v>138</v>
      </c>
      <c r="H19" s="7" t="n">
        <v>18</v>
      </c>
      <c r="I19" s="5" t="s">
        <v>223</v>
      </c>
      <c r="J19" s="5" t="s">
        <v>224</v>
      </c>
      <c r="K19" s="5" t="s">
        <v>182</v>
      </c>
    </row>
    <row r="20" customFormat="false" ht="23.85" hidden="false" customHeight="false" outlineLevel="0" collapsed="false">
      <c r="A20" s="7" t="n">
        <v>3</v>
      </c>
      <c r="B20" s="5" t="s">
        <v>214</v>
      </c>
      <c r="C20" s="5" t="s">
        <v>225</v>
      </c>
      <c r="D20" s="5" t="s">
        <v>226</v>
      </c>
      <c r="E20" s="5" t="s">
        <v>227</v>
      </c>
      <c r="F20" s="5" t="s">
        <v>215</v>
      </c>
      <c r="G20" s="7" t="s">
        <v>186</v>
      </c>
      <c r="H20" s="7" t="n">
        <v>22</v>
      </c>
      <c r="I20" s="5" t="s">
        <v>228</v>
      </c>
      <c r="J20" s="5" t="s">
        <v>229</v>
      </c>
      <c r="K20" s="5" t="s">
        <v>230</v>
      </c>
    </row>
    <row r="21" customFormat="false" ht="15" hidden="false" customHeight="false" outlineLevel="0" collapsed="false">
      <c r="A21" s="7" t="n">
        <v>3</v>
      </c>
      <c r="B21" s="5" t="s">
        <v>214</v>
      </c>
      <c r="C21" s="5" t="s">
        <v>231</v>
      </c>
      <c r="D21" s="5" t="s">
        <v>232</v>
      </c>
      <c r="E21" s="5" t="s">
        <v>233</v>
      </c>
      <c r="F21" s="5" t="s">
        <v>225</v>
      </c>
      <c r="G21" s="7" t="s">
        <v>186</v>
      </c>
      <c r="H21" s="7" t="n">
        <v>20</v>
      </c>
      <c r="I21" s="5" t="s">
        <v>223</v>
      </c>
      <c r="J21" s="5" t="s">
        <v>234</v>
      </c>
      <c r="K21" s="5" t="s">
        <v>235</v>
      </c>
    </row>
    <row r="22" customFormat="false" ht="15" hidden="false" customHeight="false" outlineLevel="0" collapsed="false">
      <c r="A22" s="7" t="n">
        <v>3</v>
      </c>
      <c r="B22" s="5" t="s">
        <v>214</v>
      </c>
      <c r="C22" s="5" t="s">
        <v>236</v>
      </c>
      <c r="D22" s="5" t="s">
        <v>237</v>
      </c>
      <c r="E22" s="5" t="s">
        <v>238</v>
      </c>
      <c r="F22" s="5" t="s">
        <v>231</v>
      </c>
      <c r="G22" s="7" t="s">
        <v>186</v>
      </c>
      <c r="H22" s="7" t="n">
        <v>18</v>
      </c>
      <c r="I22" s="5" t="s">
        <v>239</v>
      </c>
      <c r="J22" s="5" t="s">
        <v>240</v>
      </c>
      <c r="K22" s="5" t="s">
        <v>241</v>
      </c>
    </row>
    <row r="23" customFormat="false" ht="15" hidden="false" customHeight="false" outlineLevel="0" collapsed="false">
      <c r="A23" s="7" t="n">
        <v>4</v>
      </c>
      <c r="B23" s="5" t="s">
        <v>242</v>
      </c>
      <c r="C23" s="5" t="s">
        <v>243</v>
      </c>
      <c r="D23" s="5" t="s">
        <v>244</v>
      </c>
      <c r="E23" s="5" t="s">
        <v>245</v>
      </c>
      <c r="F23" s="5" t="s">
        <v>215</v>
      </c>
      <c r="G23" s="7" t="s">
        <v>186</v>
      </c>
      <c r="H23" s="7" t="n">
        <v>22</v>
      </c>
      <c r="I23" s="5" t="s">
        <v>246</v>
      </c>
      <c r="J23" s="5" t="s">
        <v>247</v>
      </c>
      <c r="K23" s="5" t="s">
        <v>165</v>
      </c>
    </row>
    <row r="24" customFormat="false" ht="15" hidden="false" customHeight="false" outlineLevel="0" collapsed="false">
      <c r="A24" s="7" t="n">
        <v>4</v>
      </c>
      <c r="B24" s="5" t="s">
        <v>242</v>
      </c>
      <c r="C24" s="5" t="s">
        <v>248</v>
      </c>
      <c r="D24" s="5" t="s">
        <v>249</v>
      </c>
      <c r="E24" s="5" t="s">
        <v>250</v>
      </c>
      <c r="F24" s="5" t="s">
        <v>243</v>
      </c>
      <c r="G24" s="7" t="s">
        <v>186</v>
      </c>
      <c r="H24" s="7" t="n">
        <v>18</v>
      </c>
      <c r="I24" s="5" t="s">
        <v>223</v>
      </c>
      <c r="J24" s="5" t="s">
        <v>251</v>
      </c>
      <c r="K24" s="5" t="s">
        <v>165</v>
      </c>
    </row>
    <row r="25" customFormat="false" ht="15" hidden="false" customHeight="false" outlineLevel="0" collapsed="false">
      <c r="A25" s="7" t="n">
        <v>4</v>
      </c>
      <c r="B25" s="5" t="s">
        <v>242</v>
      </c>
      <c r="C25" s="5" t="s">
        <v>252</v>
      </c>
      <c r="D25" s="5" t="s">
        <v>253</v>
      </c>
      <c r="E25" s="5" t="s">
        <v>254</v>
      </c>
      <c r="F25" s="5" t="s">
        <v>243</v>
      </c>
      <c r="G25" s="7" t="s">
        <v>255</v>
      </c>
      <c r="H25" s="7" t="n">
        <v>18</v>
      </c>
      <c r="I25" s="5" t="s">
        <v>256</v>
      </c>
      <c r="J25" s="5" t="s">
        <v>257</v>
      </c>
      <c r="K25" s="5" t="s">
        <v>258</v>
      </c>
    </row>
    <row r="26" customFormat="false" ht="15" hidden="false" customHeight="false" outlineLevel="0" collapsed="false">
      <c r="A26" s="7" t="n">
        <v>4</v>
      </c>
      <c r="B26" s="5" t="s">
        <v>242</v>
      </c>
      <c r="C26" s="5" t="s">
        <v>259</v>
      </c>
      <c r="D26" s="5" t="s">
        <v>260</v>
      </c>
      <c r="E26" s="5" t="s">
        <v>261</v>
      </c>
      <c r="F26" s="5" t="s">
        <v>171</v>
      </c>
      <c r="G26" s="7" t="s">
        <v>255</v>
      </c>
      <c r="H26" s="7" t="n">
        <v>22</v>
      </c>
      <c r="I26" s="5" t="s">
        <v>262</v>
      </c>
      <c r="J26" s="5" t="s">
        <v>263</v>
      </c>
      <c r="K26" s="5" t="s">
        <v>264</v>
      </c>
    </row>
    <row r="27" customFormat="false" ht="15" hidden="false" customHeight="false" outlineLevel="0" collapsed="false">
      <c r="A27" s="7" t="n">
        <v>4</v>
      </c>
      <c r="B27" s="5" t="s">
        <v>242</v>
      </c>
      <c r="C27" s="5" t="s">
        <v>265</v>
      </c>
      <c r="D27" s="5" t="s">
        <v>266</v>
      </c>
      <c r="E27" s="5" t="s">
        <v>266</v>
      </c>
      <c r="F27" s="5" t="s">
        <v>243</v>
      </c>
      <c r="G27" s="7" t="s">
        <v>186</v>
      </c>
      <c r="H27" s="7" t="n">
        <v>18</v>
      </c>
      <c r="I27" s="5" t="s">
        <v>223</v>
      </c>
      <c r="J27" s="5" t="s">
        <v>267</v>
      </c>
      <c r="K27" s="5" t="s">
        <v>165</v>
      </c>
    </row>
    <row r="28" customFormat="false" ht="15" hidden="false" customHeight="false" outlineLevel="0" collapsed="false">
      <c r="A28" s="7" t="n">
        <v>5</v>
      </c>
      <c r="B28" s="5" t="s">
        <v>268</v>
      </c>
      <c r="C28" s="5" t="s">
        <v>269</v>
      </c>
      <c r="D28" s="5" t="s">
        <v>270</v>
      </c>
      <c r="E28" s="5" t="s">
        <v>271</v>
      </c>
      <c r="F28" s="5" t="s">
        <v>134</v>
      </c>
      <c r="G28" s="7" t="s">
        <v>186</v>
      </c>
      <c r="H28" s="7" t="n">
        <v>22</v>
      </c>
      <c r="I28" s="5" t="s">
        <v>272</v>
      </c>
      <c r="J28" s="5" t="s">
        <v>273</v>
      </c>
      <c r="K28" s="5" t="s">
        <v>274</v>
      </c>
    </row>
    <row r="29" customFormat="false" ht="15" hidden="false" customHeight="false" outlineLevel="0" collapsed="false">
      <c r="A29" s="7" t="n">
        <v>5</v>
      </c>
      <c r="B29" s="5" t="s">
        <v>268</v>
      </c>
      <c r="C29" s="5" t="s">
        <v>275</v>
      </c>
      <c r="D29" s="5" t="s">
        <v>276</v>
      </c>
      <c r="E29" s="5" t="s">
        <v>277</v>
      </c>
      <c r="F29" s="5" t="s">
        <v>269</v>
      </c>
      <c r="G29" s="7" t="s">
        <v>186</v>
      </c>
      <c r="H29" s="7" t="n">
        <v>22</v>
      </c>
      <c r="I29" s="5" t="s">
        <v>278</v>
      </c>
      <c r="J29" s="5" t="s">
        <v>279</v>
      </c>
      <c r="K29" s="5" t="s">
        <v>280</v>
      </c>
    </row>
    <row r="30" customFormat="false" ht="15" hidden="false" customHeight="false" outlineLevel="0" collapsed="false">
      <c r="A30" s="7" t="n">
        <v>5</v>
      </c>
      <c r="B30" s="5" t="s">
        <v>268</v>
      </c>
      <c r="C30" s="5" t="s">
        <v>281</v>
      </c>
      <c r="D30" s="5" t="s">
        <v>282</v>
      </c>
      <c r="E30" s="5" t="s">
        <v>283</v>
      </c>
      <c r="F30" s="5" t="s">
        <v>269</v>
      </c>
      <c r="G30" s="7" t="s">
        <v>186</v>
      </c>
      <c r="H30" s="7" t="n">
        <v>18</v>
      </c>
      <c r="I30" s="5" t="s">
        <v>284</v>
      </c>
      <c r="J30" s="5" t="s">
        <v>285</v>
      </c>
      <c r="K30" s="5" t="s">
        <v>274</v>
      </c>
    </row>
    <row r="31" customFormat="false" ht="15" hidden="false" customHeight="false" outlineLevel="0" collapsed="false">
      <c r="A31" s="7" t="n">
        <v>5</v>
      </c>
      <c r="B31" s="5" t="s">
        <v>268</v>
      </c>
      <c r="C31" s="5" t="s">
        <v>286</v>
      </c>
      <c r="D31" s="5" t="s">
        <v>287</v>
      </c>
      <c r="E31" s="5" t="s">
        <v>288</v>
      </c>
      <c r="F31" s="5" t="s">
        <v>275</v>
      </c>
      <c r="G31" s="7" t="s">
        <v>255</v>
      </c>
      <c r="H31" s="7" t="n">
        <v>22</v>
      </c>
      <c r="I31" s="5" t="s">
        <v>289</v>
      </c>
      <c r="J31" s="5" t="s">
        <v>290</v>
      </c>
      <c r="K31" s="5" t="s">
        <v>291</v>
      </c>
    </row>
    <row r="32" customFormat="false" ht="15" hidden="false" customHeight="false" outlineLevel="0" collapsed="false">
      <c r="A32" s="7" t="n">
        <v>6</v>
      </c>
      <c r="B32" s="5" t="s">
        <v>292</v>
      </c>
      <c r="C32" s="5" t="s">
        <v>293</v>
      </c>
      <c r="D32" s="5" t="s">
        <v>294</v>
      </c>
      <c r="E32" s="5" t="s">
        <v>295</v>
      </c>
      <c r="F32" s="5" t="s">
        <v>252</v>
      </c>
      <c r="G32" s="7" t="s">
        <v>186</v>
      </c>
      <c r="H32" s="7" t="n">
        <v>24</v>
      </c>
      <c r="I32" s="5" t="s">
        <v>174</v>
      </c>
      <c r="J32" s="5" t="s">
        <v>296</v>
      </c>
      <c r="K32" s="5" t="s">
        <v>297</v>
      </c>
    </row>
    <row r="33" customFormat="false" ht="15" hidden="false" customHeight="false" outlineLevel="0" collapsed="false">
      <c r="A33" s="7" t="n">
        <v>6</v>
      </c>
      <c r="B33" s="5" t="s">
        <v>292</v>
      </c>
      <c r="C33" s="5" t="s">
        <v>298</v>
      </c>
      <c r="D33" s="5" t="s">
        <v>299</v>
      </c>
      <c r="E33" s="5" t="s">
        <v>300</v>
      </c>
      <c r="F33" s="5" t="s">
        <v>293</v>
      </c>
      <c r="G33" s="7" t="s">
        <v>255</v>
      </c>
      <c r="H33" s="7" t="n">
        <v>24</v>
      </c>
      <c r="I33" s="5" t="s">
        <v>301</v>
      </c>
      <c r="J33" s="5" t="s">
        <v>302</v>
      </c>
      <c r="K33" s="5" t="s">
        <v>297</v>
      </c>
    </row>
    <row r="34" customFormat="false" ht="15" hidden="false" customHeight="false" outlineLevel="0" collapsed="false">
      <c r="A34" s="7" t="n">
        <v>6</v>
      </c>
      <c r="B34" s="5" t="s">
        <v>292</v>
      </c>
      <c r="C34" s="5" t="s">
        <v>303</v>
      </c>
      <c r="D34" s="5" t="s">
        <v>304</v>
      </c>
      <c r="E34" s="5" t="s">
        <v>305</v>
      </c>
      <c r="F34" s="5" t="s">
        <v>298</v>
      </c>
      <c r="G34" s="7" t="s">
        <v>255</v>
      </c>
      <c r="H34" s="7" t="n">
        <v>22</v>
      </c>
      <c r="I34" s="5" t="s">
        <v>306</v>
      </c>
      <c r="J34" s="5" t="s">
        <v>307</v>
      </c>
      <c r="K34" s="5" t="s">
        <v>308</v>
      </c>
    </row>
    <row r="35" customFormat="false" ht="15" hidden="false" customHeight="false" outlineLevel="0" collapsed="false">
      <c r="A35" s="7" t="n">
        <v>6</v>
      </c>
      <c r="B35" s="5" t="s">
        <v>292</v>
      </c>
      <c r="C35" s="5" t="s">
        <v>309</v>
      </c>
      <c r="D35" s="5" t="s">
        <v>310</v>
      </c>
      <c r="E35" s="5" t="s">
        <v>311</v>
      </c>
      <c r="F35" s="5" t="s">
        <v>298</v>
      </c>
      <c r="G35" s="7" t="s">
        <v>255</v>
      </c>
      <c r="H35" s="7" t="n">
        <v>18</v>
      </c>
      <c r="I35" s="5" t="s">
        <v>312</v>
      </c>
      <c r="J35" s="5" t="s">
        <v>313</v>
      </c>
      <c r="K35" s="5" t="s">
        <v>314</v>
      </c>
    </row>
    <row r="36" customFormat="false" ht="15" hidden="false" customHeight="false" outlineLevel="0" collapsed="false">
      <c r="A36" s="7" t="n">
        <v>6</v>
      </c>
      <c r="B36" s="5" t="s">
        <v>292</v>
      </c>
      <c r="C36" s="5" t="s">
        <v>315</v>
      </c>
      <c r="D36" s="5" t="s">
        <v>316</v>
      </c>
      <c r="E36" s="5" t="s">
        <v>317</v>
      </c>
      <c r="F36" s="5" t="s">
        <v>303</v>
      </c>
      <c r="G36" s="7" t="s">
        <v>255</v>
      </c>
      <c r="H36" s="7" t="n">
        <v>20</v>
      </c>
      <c r="I36" s="5" t="s">
        <v>318</v>
      </c>
      <c r="J36" s="5" t="s">
        <v>319</v>
      </c>
      <c r="K36" s="5" t="s">
        <v>320</v>
      </c>
    </row>
    <row r="37" customFormat="false" ht="15" hidden="false" customHeight="false" outlineLevel="0" collapsed="false">
      <c r="A37" s="7" t="n">
        <v>7</v>
      </c>
      <c r="B37" s="5" t="s">
        <v>321</v>
      </c>
      <c r="C37" s="5" t="s">
        <v>322</v>
      </c>
      <c r="D37" s="5" t="s">
        <v>323</v>
      </c>
      <c r="E37" s="5" t="s">
        <v>324</v>
      </c>
      <c r="F37" s="5" t="s">
        <v>298</v>
      </c>
      <c r="G37" s="7" t="s">
        <v>255</v>
      </c>
      <c r="H37" s="7" t="n">
        <v>22</v>
      </c>
      <c r="I37" s="5" t="s">
        <v>325</v>
      </c>
      <c r="J37" s="5" t="s">
        <v>326</v>
      </c>
      <c r="K37" s="5" t="s">
        <v>327</v>
      </c>
    </row>
    <row r="38" customFormat="false" ht="15" hidden="false" customHeight="false" outlineLevel="0" collapsed="false">
      <c r="A38" s="7" t="n">
        <v>7</v>
      </c>
      <c r="B38" s="5" t="s">
        <v>321</v>
      </c>
      <c r="C38" s="5" t="s">
        <v>328</v>
      </c>
      <c r="D38" s="5" t="s">
        <v>329</v>
      </c>
      <c r="E38" s="5" t="s">
        <v>330</v>
      </c>
      <c r="F38" s="5" t="s">
        <v>322</v>
      </c>
      <c r="G38" s="7" t="s">
        <v>255</v>
      </c>
      <c r="H38" s="7" t="n">
        <v>24</v>
      </c>
      <c r="I38" s="5" t="s">
        <v>301</v>
      </c>
      <c r="J38" s="5" t="s">
        <v>331</v>
      </c>
      <c r="K38" s="5" t="s">
        <v>332</v>
      </c>
    </row>
    <row r="39" customFormat="false" ht="15" hidden="false" customHeight="false" outlineLevel="0" collapsed="false">
      <c r="A39" s="7" t="n">
        <v>7</v>
      </c>
      <c r="B39" s="5" t="s">
        <v>321</v>
      </c>
      <c r="C39" s="5" t="s">
        <v>333</v>
      </c>
      <c r="D39" s="5" t="s">
        <v>334</v>
      </c>
      <c r="E39" s="5" t="s">
        <v>335</v>
      </c>
      <c r="F39" s="5" t="s">
        <v>328</v>
      </c>
      <c r="G39" s="7" t="s">
        <v>255</v>
      </c>
      <c r="H39" s="7" t="n">
        <v>24</v>
      </c>
      <c r="I39" s="5" t="s">
        <v>336</v>
      </c>
      <c r="J39" s="5" t="s">
        <v>337</v>
      </c>
      <c r="K39" s="5" t="s">
        <v>338</v>
      </c>
    </row>
    <row r="40" customFormat="false" ht="15" hidden="false" customHeight="false" outlineLevel="0" collapsed="false">
      <c r="A40" s="7" t="n">
        <v>7</v>
      </c>
      <c r="B40" s="5" t="s">
        <v>321</v>
      </c>
      <c r="C40" s="5" t="s">
        <v>339</v>
      </c>
      <c r="D40" s="5" t="s">
        <v>340</v>
      </c>
      <c r="E40" s="5" t="s">
        <v>341</v>
      </c>
      <c r="F40" s="5" t="s">
        <v>333</v>
      </c>
      <c r="G40" s="7" t="s">
        <v>255</v>
      </c>
      <c r="H40" s="7" t="n">
        <v>22</v>
      </c>
      <c r="I40" s="5" t="s">
        <v>199</v>
      </c>
      <c r="J40" s="5" t="s">
        <v>342</v>
      </c>
      <c r="K40" s="5" t="s">
        <v>343</v>
      </c>
    </row>
    <row r="41" customFormat="false" ht="15" hidden="false" customHeight="false" outlineLevel="0" collapsed="false">
      <c r="A41" s="7" t="n">
        <v>7</v>
      </c>
      <c r="B41" s="5" t="s">
        <v>321</v>
      </c>
      <c r="C41" s="5" t="s">
        <v>344</v>
      </c>
      <c r="D41" s="5" t="s">
        <v>345</v>
      </c>
      <c r="E41" s="5" t="s">
        <v>346</v>
      </c>
      <c r="F41" s="5" t="s">
        <v>328</v>
      </c>
      <c r="G41" s="7" t="s">
        <v>255</v>
      </c>
      <c r="H41" s="7" t="n">
        <v>22</v>
      </c>
      <c r="I41" s="5" t="s">
        <v>325</v>
      </c>
      <c r="J41" s="5" t="s">
        <v>347</v>
      </c>
      <c r="K41" s="5" t="s">
        <v>348</v>
      </c>
    </row>
    <row r="42" customFormat="false" ht="15" hidden="false" customHeight="false" outlineLevel="0" collapsed="false">
      <c r="A42" s="7" t="n">
        <v>8</v>
      </c>
      <c r="B42" s="5" t="s">
        <v>349</v>
      </c>
      <c r="C42" s="5" t="s">
        <v>350</v>
      </c>
      <c r="D42" s="5" t="s">
        <v>349</v>
      </c>
      <c r="E42" s="5" t="s">
        <v>351</v>
      </c>
      <c r="F42" s="5" t="s">
        <v>333</v>
      </c>
      <c r="G42" s="7" t="s">
        <v>255</v>
      </c>
      <c r="H42" s="7" t="n">
        <v>24</v>
      </c>
      <c r="I42" s="5" t="s">
        <v>352</v>
      </c>
      <c r="J42" s="5" t="s">
        <v>353</v>
      </c>
      <c r="K42" s="5" t="s">
        <v>354</v>
      </c>
    </row>
    <row r="43" customFormat="false" ht="15" hidden="false" customHeight="false" outlineLevel="0" collapsed="false">
      <c r="A43" s="7" t="n">
        <v>8</v>
      </c>
      <c r="B43" s="5" t="s">
        <v>349</v>
      </c>
      <c r="C43" s="5" t="s">
        <v>355</v>
      </c>
      <c r="D43" s="5" t="s">
        <v>356</v>
      </c>
      <c r="E43" s="5" t="s">
        <v>357</v>
      </c>
      <c r="F43" s="5" t="s">
        <v>350</v>
      </c>
      <c r="G43" s="7" t="s">
        <v>255</v>
      </c>
      <c r="H43" s="7" t="n">
        <v>22</v>
      </c>
      <c r="I43" s="5" t="s">
        <v>239</v>
      </c>
      <c r="J43" s="5" t="s">
        <v>358</v>
      </c>
      <c r="K43" s="5" t="s">
        <v>359</v>
      </c>
    </row>
    <row r="44" customFormat="false" ht="15" hidden="false" customHeight="false" outlineLevel="0" collapsed="false">
      <c r="A44" s="7" t="n">
        <v>8</v>
      </c>
      <c r="B44" s="5" t="s">
        <v>349</v>
      </c>
      <c r="C44" s="5" t="s">
        <v>360</v>
      </c>
      <c r="D44" s="5" t="s">
        <v>361</v>
      </c>
      <c r="E44" s="5" t="s">
        <v>362</v>
      </c>
      <c r="F44" s="5" t="s">
        <v>350</v>
      </c>
      <c r="G44" s="7" t="s">
        <v>255</v>
      </c>
      <c r="H44" s="7" t="n">
        <v>22</v>
      </c>
      <c r="I44" s="5" t="s">
        <v>363</v>
      </c>
      <c r="J44" s="5" t="s">
        <v>364</v>
      </c>
      <c r="K44" s="5" t="s">
        <v>274</v>
      </c>
    </row>
    <row r="45" customFormat="false" ht="15" hidden="false" customHeight="false" outlineLevel="0" collapsed="false">
      <c r="A45" s="7" t="n">
        <v>8</v>
      </c>
      <c r="B45" s="5" t="s">
        <v>349</v>
      </c>
      <c r="C45" s="5" t="s">
        <v>365</v>
      </c>
      <c r="D45" s="5" t="s">
        <v>366</v>
      </c>
      <c r="E45" s="5" t="s">
        <v>367</v>
      </c>
      <c r="F45" s="5" t="s">
        <v>355</v>
      </c>
      <c r="G45" s="7" t="s">
        <v>255</v>
      </c>
      <c r="H45" s="7" t="n">
        <v>18</v>
      </c>
      <c r="I45" s="5" t="s">
        <v>368</v>
      </c>
      <c r="J45" s="5" t="s">
        <v>369</v>
      </c>
      <c r="K45" s="5" t="s">
        <v>370</v>
      </c>
    </row>
    <row r="46" customFormat="false" ht="15" hidden="false" customHeight="false" outlineLevel="0" collapsed="false">
      <c r="A46" s="7" t="n">
        <v>9</v>
      </c>
      <c r="B46" s="5" t="s">
        <v>371</v>
      </c>
      <c r="C46" s="5" t="s">
        <v>372</v>
      </c>
      <c r="D46" s="5" t="s">
        <v>373</v>
      </c>
      <c r="E46" s="5" t="s">
        <v>374</v>
      </c>
      <c r="F46" s="5" t="s">
        <v>202</v>
      </c>
      <c r="G46" s="7" t="s">
        <v>255</v>
      </c>
      <c r="H46" s="7" t="n">
        <v>24</v>
      </c>
      <c r="I46" s="5" t="s">
        <v>375</v>
      </c>
      <c r="J46" s="5" t="s">
        <v>376</v>
      </c>
      <c r="K46" s="5" t="s">
        <v>377</v>
      </c>
    </row>
    <row r="47" customFormat="false" ht="15" hidden="false" customHeight="false" outlineLevel="0" collapsed="false">
      <c r="A47" s="7" t="n">
        <v>9</v>
      </c>
      <c r="B47" s="5" t="s">
        <v>371</v>
      </c>
      <c r="C47" s="5" t="s">
        <v>378</v>
      </c>
      <c r="D47" s="5" t="s">
        <v>379</v>
      </c>
      <c r="E47" s="5" t="s">
        <v>380</v>
      </c>
      <c r="F47" s="5" t="s">
        <v>372</v>
      </c>
      <c r="G47" s="7" t="s">
        <v>255</v>
      </c>
      <c r="H47" s="7" t="n">
        <v>24</v>
      </c>
      <c r="I47" s="5" t="s">
        <v>381</v>
      </c>
      <c r="J47" s="5" t="s">
        <v>382</v>
      </c>
      <c r="K47" s="5" t="s">
        <v>377</v>
      </c>
    </row>
    <row r="48" customFormat="false" ht="15" hidden="false" customHeight="false" outlineLevel="0" collapsed="false">
      <c r="A48" s="7" t="n">
        <v>9</v>
      </c>
      <c r="B48" s="5" t="s">
        <v>371</v>
      </c>
      <c r="C48" s="5" t="s">
        <v>383</v>
      </c>
      <c r="D48" s="5" t="s">
        <v>384</v>
      </c>
      <c r="E48" s="5" t="s">
        <v>385</v>
      </c>
      <c r="F48" s="5" t="s">
        <v>378</v>
      </c>
      <c r="G48" s="7" t="s">
        <v>255</v>
      </c>
      <c r="H48" s="7" t="n">
        <v>22</v>
      </c>
      <c r="I48" s="5" t="s">
        <v>301</v>
      </c>
      <c r="J48" s="5" t="s">
        <v>386</v>
      </c>
      <c r="K48" s="5" t="s">
        <v>377</v>
      </c>
    </row>
    <row r="49" customFormat="false" ht="15" hidden="false" customHeight="false" outlineLevel="0" collapsed="false">
      <c r="A49" s="7" t="n">
        <v>9</v>
      </c>
      <c r="B49" s="5" t="s">
        <v>371</v>
      </c>
      <c r="C49" s="5" t="s">
        <v>387</v>
      </c>
      <c r="D49" s="5" t="s">
        <v>388</v>
      </c>
      <c r="E49" s="5" t="s">
        <v>389</v>
      </c>
      <c r="F49" s="5" t="s">
        <v>378</v>
      </c>
      <c r="G49" s="7" t="s">
        <v>255</v>
      </c>
      <c r="H49" s="7" t="n">
        <v>22</v>
      </c>
      <c r="I49" s="5" t="s">
        <v>390</v>
      </c>
      <c r="J49" s="5" t="s">
        <v>391</v>
      </c>
      <c r="K49" s="5" t="s">
        <v>213</v>
      </c>
    </row>
    <row r="50" customFormat="false" ht="15" hidden="false" customHeight="false" outlineLevel="0" collapsed="false">
      <c r="A50" s="7" t="n">
        <v>10</v>
      </c>
      <c r="B50" s="5" t="s">
        <v>392</v>
      </c>
      <c r="C50" s="5" t="s">
        <v>393</v>
      </c>
      <c r="D50" s="5" t="s">
        <v>394</v>
      </c>
      <c r="E50" s="5" t="s">
        <v>395</v>
      </c>
      <c r="F50" s="5" t="s">
        <v>269</v>
      </c>
      <c r="G50" s="7" t="s">
        <v>186</v>
      </c>
      <c r="H50" s="7" t="n">
        <v>20</v>
      </c>
      <c r="I50" s="5" t="s">
        <v>284</v>
      </c>
      <c r="J50" s="5" t="s">
        <v>396</v>
      </c>
      <c r="K50" s="5" t="s">
        <v>280</v>
      </c>
    </row>
    <row r="51" customFormat="false" ht="15" hidden="false" customHeight="false" outlineLevel="0" collapsed="false">
      <c r="A51" s="7" t="n">
        <v>10</v>
      </c>
      <c r="B51" s="5" t="s">
        <v>392</v>
      </c>
      <c r="C51" s="5" t="s">
        <v>397</v>
      </c>
      <c r="D51" s="5" t="s">
        <v>398</v>
      </c>
      <c r="E51" s="5" t="s">
        <v>399</v>
      </c>
      <c r="F51" s="5" t="s">
        <v>393</v>
      </c>
      <c r="G51" s="7" t="s">
        <v>186</v>
      </c>
      <c r="H51" s="7" t="n">
        <v>22</v>
      </c>
      <c r="I51" s="5" t="s">
        <v>363</v>
      </c>
      <c r="J51" s="5" t="s">
        <v>400</v>
      </c>
      <c r="K51" s="5" t="s">
        <v>401</v>
      </c>
    </row>
    <row r="52" customFormat="false" ht="15" hidden="false" customHeight="false" outlineLevel="0" collapsed="false">
      <c r="A52" s="7" t="n">
        <v>10</v>
      </c>
      <c r="B52" s="5" t="s">
        <v>392</v>
      </c>
      <c r="C52" s="5" t="s">
        <v>402</v>
      </c>
      <c r="D52" s="5" t="s">
        <v>403</v>
      </c>
      <c r="E52" s="5" t="s">
        <v>404</v>
      </c>
      <c r="F52" s="5" t="s">
        <v>393</v>
      </c>
      <c r="G52" s="7" t="s">
        <v>138</v>
      </c>
      <c r="H52" s="7" t="n">
        <v>20</v>
      </c>
      <c r="I52" s="5" t="s">
        <v>284</v>
      </c>
      <c r="J52" s="5" t="s">
        <v>405</v>
      </c>
      <c r="K52" s="5" t="s">
        <v>406</v>
      </c>
    </row>
    <row r="53" customFormat="false" ht="15" hidden="false" customHeight="false" outlineLevel="0" collapsed="false">
      <c r="A53" s="7" t="n">
        <v>10</v>
      </c>
      <c r="B53" s="5" t="s">
        <v>392</v>
      </c>
      <c r="C53" s="5" t="s">
        <v>407</v>
      </c>
      <c r="D53" s="5" t="s">
        <v>408</v>
      </c>
      <c r="E53" s="5" t="s">
        <v>409</v>
      </c>
      <c r="F53" s="5" t="s">
        <v>393</v>
      </c>
      <c r="G53" s="7" t="s">
        <v>138</v>
      </c>
      <c r="H53" s="7" t="n">
        <v>18</v>
      </c>
      <c r="I53" s="5" t="s">
        <v>284</v>
      </c>
      <c r="J53" s="5" t="s">
        <v>410</v>
      </c>
      <c r="K53" s="5" t="s">
        <v>411</v>
      </c>
    </row>
    <row r="54" customFormat="false" ht="15" hidden="false" customHeight="false" outlineLevel="0" collapsed="false">
      <c r="A54" s="7" t="n">
        <v>10</v>
      </c>
      <c r="B54" s="5" t="s">
        <v>392</v>
      </c>
      <c r="C54" s="5" t="s">
        <v>412</v>
      </c>
      <c r="D54" s="5" t="s">
        <v>413</v>
      </c>
      <c r="E54" s="5" t="s">
        <v>414</v>
      </c>
      <c r="F54" s="5" t="s">
        <v>397</v>
      </c>
      <c r="G54" s="7" t="s">
        <v>186</v>
      </c>
      <c r="H54" s="7" t="n">
        <v>20</v>
      </c>
      <c r="I54" s="5" t="s">
        <v>223</v>
      </c>
      <c r="J54" s="5" t="s">
        <v>415</v>
      </c>
      <c r="K54" s="5" t="s">
        <v>416</v>
      </c>
    </row>
    <row r="55" customFormat="false" ht="15" hidden="false" customHeight="false" outlineLevel="0" collapsed="false">
      <c r="A55" s="7" t="n">
        <v>11</v>
      </c>
      <c r="B55" s="5" t="s">
        <v>417</v>
      </c>
      <c r="C55" s="5" t="s">
        <v>418</v>
      </c>
      <c r="D55" s="5" t="s">
        <v>419</v>
      </c>
      <c r="E55" s="5" t="s">
        <v>420</v>
      </c>
      <c r="F55" s="5" t="s">
        <v>383</v>
      </c>
      <c r="G55" s="7" t="s">
        <v>255</v>
      </c>
      <c r="H55" s="7" t="n">
        <v>24</v>
      </c>
      <c r="I55" s="5" t="s">
        <v>421</v>
      </c>
      <c r="J55" s="5" t="s">
        <v>422</v>
      </c>
      <c r="K55" s="5" t="s">
        <v>423</v>
      </c>
    </row>
    <row r="56" customFormat="false" ht="15" hidden="false" customHeight="false" outlineLevel="0" collapsed="false">
      <c r="A56" s="7" t="n">
        <v>11</v>
      </c>
      <c r="B56" s="5" t="s">
        <v>417</v>
      </c>
      <c r="C56" s="5" t="s">
        <v>424</v>
      </c>
      <c r="D56" s="5" t="s">
        <v>425</v>
      </c>
      <c r="E56" s="5" t="s">
        <v>426</v>
      </c>
      <c r="F56" s="5" t="s">
        <v>418</v>
      </c>
      <c r="G56" s="7" t="s">
        <v>255</v>
      </c>
      <c r="H56" s="7" t="n">
        <v>20</v>
      </c>
      <c r="I56" s="5" t="s">
        <v>427</v>
      </c>
      <c r="J56" s="5" t="s">
        <v>428</v>
      </c>
      <c r="K56" s="5" t="s">
        <v>429</v>
      </c>
    </row>
    <row r="57" customFormat="false" ht="15" hidden="false" customHeight="false" outlineLevel="0" collapsed="false">
      <c r="A57" s="7" t="n">
        <v>11</v>
      </c>
      <c r="B57" s="5" t="s">
        <v>417</v>
      </c>
      <c r="C57" s="5" t="s">
        <v>430</v>
      </c>
      <c r="D57" s="5" t="s">
        <v>431</v>
      </c>
      <c r="E57" s="5" t="s">
        <v>432</v>
      </c>
      <c r="F57" s="5" t="s">
        <v>418</v>
      </c>
      <c r="G57" s="7" t="s">
        <v>255</v>
      </c>
      <c r="H57" s="7" t="n">
        <v>24</v>
      </c>
      <c r="I57" s="5" t="s">
        <v>433</v>
      </c>
      <c r="J57" s="5" t="s">
        <v>434</v>
      </c>
      <c r="K57" s="5" t="s">
        <v>435</v>
      </c>
    </row>
    <row r="58" customFormat="false" ht="15" hidden="false" customHeight="false" outlineLevel="0" collapsed="false">
      <c r="A58" s="7" t="n">
        <v>11</v>
      </c>
      <c r="B58" s="5" t="s">
        <v>417</v>
      </c>
      <c r="C58" s="5" t="s">
        <v>436</v>
      </c>
      <c r="D58" s="5" t="s">
        <v>437</v>
      </c>
      <c r="E58" s="5" t="s">
        <v>438</v>
      </c>
      <c r="F58" s="5" t="s">
        <v>418</v>
      </c>
      <c r="G58" s="7" t="s">
        <v>255</v>
      </c>
      <c r="H58" s="7" t="n">
        <v>22</v>
      </c>
      <c r="I58" s="5" t="s">
        <v>439</v>
      </c>
      <c r="J58" s="5" t="s">
        <v>440</v>
      </c>
      <c r="K58" s="5" t="s">
        <v>441</v>
      </c>
    </row>
    <row r="59" customFormat="false" ht="15" hidden="false" customHeight="false" outlineLevel="0" collapsed="false">
      <c r="A59" s="7" t="n">
        <v>12</v>
      </c>
      <c r="B59" s="5" t="s">
        <v>442</v>
      </c>
      <c r="C59" s="5" t="s">
        <v>443</v>
      </c>
      <c r="D59" s="5" t="s">
        <v>444</v>
      </c>
      <c r="E59" s="5" t="s">
        <v>445</v>
      </c>
      <c r="F59" s="5" t="s">
        <v>387</v>
      </c>
      <c r="G59" s="7" t="s">
        <v>255</v>
      </c>
      <c r="H59" s="7" t="n">
        <v>20</v>
      </c>
      <c r="I59" s="5" t="s">
        <v>446</v>
      </c>
      <c r="J59" s="5" t="s">
        <v>447</v>
      </c>
      <c r="K59" s="5" t="s">
        <v>448</v>
      </c>
    </row>
    <row r="60" customFormat="false" ht="15" hidden="false" customHeight="false" outlineLevel="0" collapsed="false">
      <c r="A60" s="7" t="n">
        <v>12</v>
      </c>
      <c r="B60" s="5" t="s">
        <v>442</v>
      </c>
      <c r="C60" s="5" t="s">
        <v>449</v>
      </c>
      <c r="D60" s="5" t="s">
        <v>450</v>
      </c>
      <c r="E60" s="5" t="s">
        <v>451</v>
      </c>
      <c r="F60" s="5" t="s">
        <v>298</v>
      </c>
      <c r="G60" s="7" t="s">
        <v>255</v>
      </c>
      <c r="H60" s="7" t="n">
        <v>24</v>
      </c>
      <c r="I60" s="5" t="s">
        <v>452</v>
      </c>
      <c r="J60" s="5" t="s">
        <v>453</v>
      </c>
      <c r="K60" s="5" t="s">
        <v>213</v>
      </c>
    </row>
    <row r="61" customFormat="false" ht="15" hidden="false" customHeight="false" outlineLevel="0" collapsed="false">
      <c r="A61" s="7" t="n">
        <v>12</v>
      </c>
      <c r="B61" s="5" t="s">
        <v>442</v>
      </c>
      <c r="C61" s="5" t="s">
        <v>454</v>
      </c>
      <c r="D61" s="5" t="s">
        <v>455</v>
      </c>
      <c r="E61" s="5" t="s">
        <v>456</v>
      </c>
      <c r="F61" s="5" t="s">
        <v>333</v>
      </c>
      <c r="G61" s="7" t="s">
        <v>255</v>
      </c>
      <c r="H61" s="7" t="n">
        <v>22</v>
      </c>
      <c r="I61" s="5" t="s">
        <v>457</v>
      </c>
      <c r="J61" s="5" t="s">
        <v>458</v>
      </c>
      <c r="K61" s="5" t="s">
        <v>213</v>
      </c>
    </row>
    <row r="62" customFormat="false" ht="15" hidden="false" customHeight="false" outlineLevel="0" collapsed="false">
      <c r="A62" s="7" t="n">
        <v>12</v>
      </c>
      <c r="B62" s="5" t="s">
        <v>442</v>
      </c>
      <c r="C62" s="5" t="s">
        <v>459</v>
      </c>
      <c r="D62" s="5" t="s">
        <v>460</v>
      </c>
      <c r="E62" s="5" t="s">
        <v>461</v>
      </c>
      <c r="F62" s="5" t="s">
        <v>454</v>
      </c>
      <c r="G62" s="7" t="s">
        <v>255</v>
      </c>
      <c r="H62" s="7" t="n">
        <v>20</v>
      </c>
      <c r="I62" s="5" t="s">
        <v>462</v>
      </c>
      <c r="J62" s="5" t="s">
        <v>463</v>
      </c>
      <c r="K62" s="5" t="s">
        <v>464</v>
      </c>
    </row>
    <row r="64" customFormat="false" ht="15" hidden="false" customHeight="false" outlineLevel="0" collapsed="false">
      <c r="C64" s="9" t="n">
        <f aca="false">COUNTA(C5:C62)</f>
        <v>58</v>
      </c>
      <c r="D64" s="9" t="s">
        <v>465</v>
      </c>
      <c r="H64" s="9" t="n">
        <f aca="false">SUM(H5:H62)</f>
        <v>1214</v>
      </c>
      <c r="I64" s="2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9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467</v>
      </c>
    </row>
    <row r="2" customFormat="false" ht="15" hidden="false" customHeight="false" outlineLevel="0" collapsed="false">
      <c r="A2" s="2" t="s">
        <v>468</v>
      </c>
    </row>
    <row r="4" customFormat="false" ht="30" hidden="false" customHeight="true" outlineLevel="0" collapsed="false">
      <c r="A4" s="3" t="s">
        <v>122</v>
      </c>
      <c r="B4" s="3" t="s">
        <v>82</v>
      </c>
      <c r="C4" s="3" t="s">
        <v>469</v>
      </c>
      <c r="D4" s="3" t="s">
        <v>470</v>
      </c>
      <c r="E4" s="3" t="s">
        <v>471</v>
      </c>
      <c r="F4" s="3" t="s">
        <v>472</v>
      </c>
      <c r="G4" s="3" t="s">
        <v>473</v>
      </c>
      <c r="H4" s="3" t="s">
        <v>474</v>
      </c>
      <c r="I4" s="3" t="s">
        <v>475</v>
      </c>
      <c r="J4" s="3" t="s">
        <v>476</v>
      </c>
    </row>
    <row r="5" customFormat="false" ht="15" hidden="false" customHeight="false" outlineLevel="0" collapsed="false">
      <c r="A5" s="7" t="n">
        <v>0</v>
      </c>
      <c r="B5" s="5" t="s">
        <v>133</v>
      </c>
      <c r="C5" s="10" t="n">
        <v>4</v>
      </c>
      <c r="D5" s="10" t="n">
        <v>74</v>
      </c>
      <c r="E5" s="10" t="n">
        <v>5</v>
      </c>
      <c r="F5" s="10" t="n">
        <v>1</v>
      </c>
      <c r="G5" s="10" t="n">
        <v>1</v>
      </c>
      <c r="H5" s="7" t="n">
        <f aca="false">SUM(D5:G5)</f>
        <v>81</v>
      </c>
      <c r="I5" s="10" t="n">
        <v>0</v>
      </c>
      <c r="J5" s="11" t="n">
        <f aca="false">IF(H5=0,0,I5/H5)</f>
        <v>0</v>
      </c>
    </row>
    <row r="6" customFormat="false" ht="15" hidden="false" customHeight="false" outlineLevel="0" collapsed="false">
      <c r="A6" s="7" t="n">
        <v>1</v>
      </c>
      <c r="B6" s="5" t="s">
        <v>159</v>
      </c>
      <c r="C6" s="10" t="n">
        <v>5</v>
      </c>
      <c r="D6" s="10" t="n">
        <v>100</v>
      </c>
      <c r="E6" s="10" t="n">
        <v>5</v>
      </c>
      <c r="F6" s="10" t="n">
        <v>1</v>
      </c>
      <c r="G6" s="10" t="n">
        <v>1</v>
      </c>
      <c r="H6" s="7" t="n">
        <f aca="false">SUM(D6:G6)</f>
        <v>107</v>
      </c>
      <c r="I6" s="10" t="n">
        <v>0</v>
      </c>
      <c r="J6" s="11" t="n">
        <f aca="false">IF(H6=0,0,I6/H6)</f>
        <v>0</v>
      </c>
    </row>
    <row r="7" customFormat="false" ht="15" hidden="false" customHeight="false" outlineLevel="0" collapsed="false">
      <c r="A7" s="7" t="n">
        <v>2</v>
      </c>
      <c r="B7" s="5" t="s">
        <v>189</v>
      </c>
      <c r="C7" s="10" t="n">
        <v>4</v>
      </c>
      <c r="D7" s="10" t="n">
        <v>84</v>
      </c>
      <c r="E7" s="10" t="n">
        <v>5</v>
      </c>
      <c r="F7" s="10" t="n">
        <v>1</v>
      </c>
      <c r="G7" s="10" t="n">
        <v>1</v>
      </c>
      <c r="H7" s="7" t="n">
        <f aca="false">SUM(D7:G7)</f>
        <v>91</v>
      </c>
      <c r="I7" s="10" t="n">
        <v>0</v>
      </c>
      <c r="J7" s="11" t="n">
        <f aca="false">IF(H7=0,0,I7/H7)</f>
        <v>0</v>
      </c>
    </row>
    <row r="8" customFormat="false" ht="15" hidden="false" customHeight="false" outlineLevel="0" collapsed="false">
      <c r="A8" s="7" t="n">
        <v>3</v>
      </c>
      <c r="B8" s="5" t="s">
        <v>214</v>
      </c>
      <c r="C8" s="10" t="n">
        <v>5</v>
      </c>
      <c r="D8" s="10" t="n">
        <v>98</v>
      </c>
      <c r="E8" s="10" t="n">
        <v>5</v>
      </c>
      <c r="F8" s="10" t="n">
        <v>1</v>
      </c>
      <c r="G8" s="10" t="n">
        <v>1</v>
      </c>
      <c r="H8" s="7" t="n">
        <f aca="false">SUM(D8:G8)</f>
        <v>105</v>
      </c>
      <c r="I8" s="10" t="n">
        <v>0</v>
      </c>
      <c r="J8" s="11" t="n">
        <f aca="false">IF(H8=0,0,I8/H8)</f>
        <v>0</v>
      </c>
    </row>
    <row r="9" customFormat="false" ht="15" hidden="false" customHeight="false" outlineLevel="0" collapsed="false">
      <c r="A9" s="7" t="n">
        <v>4</v>
      </c>
      <c r="B9" s="5" t="s">
        <v>242</v>
      </c>
      <c r="C9" s="10" t="n">
        <v>5</v>
      </c>
      <c r="D9" s="10" t="n">
        <v>98</v>
      </c>
      <c r="E9" s="10" t="n">
        <v>5</v>
      </c>
      <c r="F9" s="10" t="n">
        <v>1</v>
      </c>
      <c r="G9" s="10" t="n">
        <v>1</v>
      </c>
      <c r="H9" s="7" t="n">
        <f aca="false">SUM(D9:G9)</f>
        <v>105</v>
      </c>
      <c r="I9" s="10" t="n">
        <v>0</v>
      </c>
      <c r="J9" s="11" t="n">
        <f aca="false">IF(H9=0,0,I9/H9)</f>
        <v>0</v>
      </c>
    </row>
    <row r="10" customFormat="false" ht="15" hidden="false" customHeight="false" outlineLevel="0" collapsed="false">
      <c r="A10" s="7" t="n">
        <v>5</v>
      </c>
      <c r="B10" s="5" t="s">
        <v>268</v>
      </c>
      <c r="C10" s="10" t="n">
        <v>4</v>
      </c>
      <c r="D10" s="10" t="n">
        <v>84</v>
      </c>
      <c r="E10" s="10" t="n">
        <v>5</v>
      </c>
      <c r="F10" s="10" t="n">
        <v>1</v>
      </c>
      <c r="G10" s="10" t="n">
        <v>1</v>
      </c>
      <c r="H10" s="7" t="n">
        <f aca="false">SUM(D10:G10)</f>
        <v>91</v>
      </c>
      <c r="I10" s="10" t="n">
        <v>0</v>
      </c>
      <c r="J10" s="11" t="n">
        <f aca="false">IF(H10=0,0,I10/H10)</f>
        <v>0</v>
      </c>
    </row>
    <row r="11" customFormat="false" ht="15" hidden="false" customHeight="false" outlineLevel="0" collapsed="false">
      <c r="A11" s="7" t="n">
        <v>6</v>
      </c>
      <c r="B11" s="5" t="s">
        <v>292</v>
      </c>
      <c r="C11" s="10" t="n">
        <v>5</v>
      </c>
      <c r="D11" s="10" t="n">
        <v>108</v>
      </c>
      <c r="E11" s="10" t="n">
        <v>5</v>
      </c>
      <c r="F11" s="10" t="n">
        <v>1</v>
      </c>
      <c r="G11" s="10" t="n">
        <v>1</v>
      </c>
      <c r="H11" s="7" t="n">
        <f aca="false">SUM(D11:G11)</f>
        <v>115</v>
      </c>
      <c r="I11" s="10" t="n">
        <v>0</v>
      </c>
      <c r="J11" s="11" t="n">
        <f aca="false">IF(H11=0,0,I11/H11)</f>
        <v>0</v>
      </c>
    </row>
    <row r="12" customFormat="false" ht="15" hidden="false" customHeight="false" outlineLevel="0" collapsed="false">
      <c r="A12" s="7" t="n">
        <v>7</v>
      </c>
      <c r="B12" s="5" t="s">
        <v>321</v>
      </c>
      <c r="C12" s="10" t="n">
        <v>5</v>
      </c>
      <c r="D12" s="10" t="n">
        <v>114</v>
      </c>
      <c r="E12" s="10" t="n">
        <v>5</v>
      </c>
      <c r="F12" s="10" t="n">
        <v>1</v>
      </c>
      <c r="G12" s="10" t="n">
        <v>1</v>
      </c>
      <c r="H12" s="7" t="n">
        <f aca="false">SUM(D12:G12)</f>
        <v>121</v>
      </c>
      <c r="I12" s="10" t="n">
        <v>0</v>
      </c>
      <c r="J12" s="11" t="n">
        <f aca="false">IF(H12=0,0,I12/H12)</f>
        <v>0</v>
      </c>
    </row>
    <row r="13" customFormat="false" ht="15" hidden="false" customHeight="false" outlineLevel="0" collapsed="false">
      <c r="A13" s="7" t="n">
        <v>8</v>
      </c>
      <c r="B13" s="5" t="s">
        <v>349</v>
      </c>
      <c r="C13" s="10" t="n">
        <v>4</v>
      </c>
      <c r="D13" s="10" t="n">
        <v>86</v>
      </c>
      <c r="E13" s="10" t="n">
        <v>5</v>
      </c>
      <c r="F13" s="10" t="n">
        <v>1</v>
      </c>
      <c r="G13" s="10" t="n">
        <v>1</v>
      </c>
      <c r="H13" s="7" t="n">
        <f aca="false">SUM(D13:G13)</f>
        <v>93</v>
      </c>
      <c r="I13" s="10" t="n">
        <v>0</v>
      </c>
      <c r="J13" s="11" t="n">
        <f aca="false">IF(H13=0,0,I13/H13)</f>
        <v>0</v>
      </c>
    </row>
    <row r="14" customFormat="false" ht="15" hidden="false" customHeight="false" outlineLevel="0" collapsed="false">
      <c r="A14" s="7" t="n">
        <v>9</v>
      </c>
      <c r="B14" s="5" t="s">
        <v>371</v>
      </c>
      <c r="C14" s="10" t="n">
        <v>4</v>
      </c>
      <c r="D14" s="10" t="n">
        <v>92</v>
      </c>
      <c r="E14" s="10" t="n">
        <v>5</v>
      </c>
      <c r="F14" s="10" t="n">
        <v>1</v>
      </c>
      <c r="G14" s="10" t="n">
        <v>1</v>
      </c>
      <c r="H14" s="7" t="n">
        <f aca="false">SUM(D14:G14)</f>
        <v>99</v>
      </c>
      <c r="I14" s="10" t="n">
        <v>0</v>
      </c>
      <c r="J14" s="11" t="n">
        <f aca="false">IF(H14=0,0,I14/H14)</f>
        <v>0</v>
      </c>
    </row>
    <row r="15" customFormat="false" ht="15" hidden="false" customHeight="false" outlineLevel="0" collapsed="false">
      <c r="A15" s="7" t="n">
        <v>10</v>
      </c>
      <c r="B15" s="5" t="s">
        <v>392</v>
      </c>
      <c r="C15" s="10" t="n">
        <v>5</v>
      </c>
      <c r="D15" s="10" t="n">
        <v>100</v>
      </c>
      <c r="E15" s="10" t="n">
        <v>5</v>
      </c>
      <c r="F15" s="10" t="n">
        <v>1</v>
      </c>
      <c r="G15" s="10" t="n">
        <v>1</v>
      </c>
      <c r="H15" s="7" t="n">
        <f aca="false">SUM(D15:G15)</f>
        <v>107</v>
      </c>
      <c r="I15" s="10" t="n">
        <v>0</v>
      </c>
      <c r="J15" s="11" t="n">
        <f aca="false">IF(H15=0,0,I15/H15)</f>
        <v>0</v>
      </c>
    </row>
    <row r="16" customFormat="false" ht="15" hidden="false" customHeight="false" outlineLevel="0" collapsed="false">
      <c r="A16" s="7" t="n">
        <v>11</v>
      </c>
      <c r="B16" s="5" t="s">
        <v>417</v>
      </c>
      <c r="C16" s="10" t="n">
        <v>4</v>
      </c>
      <c r="D16" s="10" t="n">
        <v>90</v>
      </c>
      <c r="E16" s="10" t="n">
        <v>5</v>
      </c>
      <c r="F16" s="10" t="n">
        <v>1</v>
      </c>
      <c r="G16" s="10" t="n">
        <v>1</v>
      </c>
      <c r="H16" s="7" t="n">
        <f aca="false">SUM(D16:G16)</f>
        <v>97</v>
      </c>
      <c r="I16" s="10" t="n">
        <v>0</v>
      </c>
      <c r="J16" s="11" t="n">
        <f aca="false">IF(H16=0,0,I16/H16)</f>
        <v>0</v>
      </c>
    </row>
    <row r="17" customFormat="false" ht="15" hidden="false" customHeight="false" outlineLevel="0" collapsed="false">
      <c r="A17" s="7" t="n">
        <v>12</v>
      </c>
      <c r="B17" s="5" t="s">
        <v>442</v>
      </c>
      <c r="C17" s="10" t="n">
        <v>4</v>
      </c>
      <c r="D17" s="10" t="n">
        <v>86</v>
      </c>
      <c r="E17" s="10" t="n">
        <v>5</v>
      </c>
      <c r="F17" s="10" t="n">
        <v>1</v>
      </c>
      <c r="G17" s="10" t="n">
        <v>2</v>
      </c>
      <c r="H17" s="7" t="n">
        <f aca="false">SUM(D17:G17)</f>
        <v>94</v>
      </c>
      <c r="I17" s="10" t="n">
        <v>0</v>
      </c>
      <c r="J17" s="11" t="n">
        <f aca="false">IF(H17=0,0,I17/H17)</f>
        <v>0</v>
      </c>
    </row>
    <row r="18" customFormat="false" ht="15" hidden="false" customHeight="false" outlineLevel="0" collapsed="false">
      <c r="B18" s="9" t="s">
        <v>477</v>
      </c>
      <c r="C18" s="12" t="n">
        <f aca="false">SUM(C5:C17)</f>
        <v>58</v>
      </c>
      <c r="D18" s="12" t="n">
        <f aca="false">SUM(D5:D17)</f>
        <v>1214</v>
      </c>
      <c r="E18" s="12" t="n">
        <f aca="false">SUM(E5:E17)</f>
        <v>65</v>
      </c>
      <c r="F18" s="12" t="n">
        <f aca="false">SUM(F5:F17)</f>
        <v>13</v>
      </c>
      <c r="G18" s="12" t="n">
        <f aca="false">SUM(G5:G17)</f>
        <v>14</v>
      </c>
      <c r="H18" s="12" t="n">
        <f aca="false">SUM(H5:H17)</f>
        <v>1306</v>
      </c>
      <c r="I18" s="12" t="n">
        <f aca="false">SUM(I5:I17)</f>
        <v>0</v>
      </c>
      <c r="J18" s="13" t="n">
        <f aca="false">IF(H18=0,0,I18/H18)</f>
        <v>0</v>
      </c>
    </row>
    <row r="20" customFormat="false" ht="15" hidden="false" customHeight="false" outlineLevel="0" collapsed="false">
      <c r="B20" s="9" t="s">
        <v>478</v>
      </c>
      <c r="D20" s="9" t="n">
        <f aca="false">ROUND(H18/120,1)</f>
        <v>10.9</v>
      </c>
    </row>
    <row r="21" customFormat="false" ht="15" hidden="false" customHeight="false" outlineLevel="0" collapsed="false">
      <c r="B21" s="2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480</v>
      </c>
    </row>
    <row r="2" customFormat="false" ht="15" hidden="false" customHeight="false" outlineLevel="0" collapsed="false">
      <c r="A2" s="2" t="s">
        <v>481</v>
      </c>
    </row>
    <row r="4" customFormat="false" ht="30" hidden="false" customHeight="true" outlineLevel="0" collapsed="false">
      <c r="A4" s="3" t="s">
        <v>482</v>
      </c>
      <c r="B4" s="3" t="s">
        <v>483</v>
      </c>
      <c r="C4" s="3" t="s">
        <v>484</v>
      </c>
      <c r="D4" s="3" t="s">
        <v>132</v>
      </c>
      <c r="E4" s="3" t="s">
        <v>485</v>
      </c>
      <c r="F4" s="3" t="s">
        <v>486</v>
      </c>
      <c r="G4" s="3" t="s">
        <v>81</v>
      </c>
      <c r="H4" s="3" t="s">
        <v>86</v>
      </c>
      <c r="I4" s="3" t="s">
        <v>487</v>
      </c>
    </row>
    <row r="5" customFormat="false" ht="23.85" hidden="false" customHeight="false" outlineLevel="0" collapsed="false">
      <c r="A5" s="5" t="s">
        <v>488</v>
      </c>
      <c r="B5" s="5" t="s">
        <v>489</v>
      </c>
      <c r="C5" s="5" t="s">
        <v>490</v>
      </c>
      <c r="D5" s="5" t="s">
        <v>213</v>
      </c>
      <c r="E5" s="7" t="s">
        <v>491</v>
      </c>
      <c r="F5" s="5" t="s">
        <v>492</v>
      </c>
      <c r="G5" s="7" t="s">
        <v>105</v>
      </c>
      <c r="H5" s="8" t="s">
        <v>104</v>
      </c>
      <c r="I5" s="8"/>
    </row>
    <row r="6" customFormat="false" ht="23.85" hidden="false" customHeight="false" outlineLevel="0" collapsed="false">
      <c r="A6" s="5" t="s">
        <v>493</v>
      </c>
      <c r="B6" s="5" t="s">
        <v>489</v>
      </c>
      <c r="C6" s="5" t="s">
        <v>494</v>
      </c>
      <c r="D6" s="5" t="s">
        <v>495</v>
      </c>
      <c r="E6" s="7" t="s">
        <v>491</v>
      </c>
      <c r="F6" s="5" t="s">
        <v>496</v>
      </c>
      <c r="G6" s="7" t="s">
        <v>105</v>
      </c>
      <c r="H6" s="8" t="s">
        <v>104</v>
      </c>
      <c r="I6" s="8"/>
    </row>
    <row r="7" customFormat="false" ht="15" hidden="false" customHeight="false" outlineLevel="0" collapsed="false">
      <c r="A7" s="5" t="s">
        <v>497</v>
      </c>
      <c r="B7" s="5" t="s">
        <v>489</v>
      </c>
      <c r="C7" s="5" t="s">
        <v>498</v>
      </c>
      <c r="D7" s="5" t="s">
        <v>499</v>
      </c>
      <c r="E7" s="7" t="s">
        <v>491</v>
      </c>
      <c r="F7" s="5" t="s">
        <v>500</v>
      </c>
      <c r="G7" s="7" t="s">
        <v>105</v>
      </c>
      <c r="H7" s="8" t="s">
        <v>104</v>
      </c>
      <c r="I7" s="8"/>
    </row>
    <row r="8" customFormat="false" ht="15" hidden="false" customHeight="false" outlineLevel="0" collapsed="false">
      <c r="A8" s="5" t="s">
        <v>501</v>
      </c>
      <c r="B8" s="5" t="s">
        <v>489</v>
      </c>
      <c r="C8" s="5" t="s">
        <v>502</v>
      </c>
      <c r="D8" s="5" t="s">
        <v>503</v>
      </c>
      <c r="E8" s="7" t="s">
        <v>491</v>
      </c>
      <c r="F8" s="5" t="s">
        <v>504</v>
      </c>
      <c r="G8" s="7" t="s">
        <v>105</v>
      </c>
      <c r="H8" s="8" t="s">
        <v>104</v>
      </c>
      <c r="I8" s="8"/>
    </row>
    <row r="9" customFormat="false" ht="15" hidden="false" customHeight="false" outlineLevel="0" collapsed="false">
      <c r="A9" s="5" t="s">
        <v>505</v>
      </c>
      <c r="B9" s="5" t="s">
        <v>489</v>
      </c>
      <c r="C9" s="5" t="s">
        <v>506</v>
      </c>
      <c r="D9" s="5" t="s">
        <v>507</v>
      </c>
      <c r="E9" s="7" t="s">
        <v>491</v>
      </c>
      <c r="F9" s="5" t="s">
        <v>508</v>
      </c>
      <c r="G9" s="7" t="s">
        <v>105</v>
      </c>
      <c r="H9" s="8" t="s">
        <v>104</v>
      </c>
      <c r="I9" s="8"/>
    </row>
    <row r="10" customFormat="false" ht="15" hidden="false" customHeight="false" outlineLevel="0" collapsed="false">
      <c r="A10" s="5" t="s">
        <v>509</v>
      </c>
      <c r="B10" s="5" t="s">
        <v>489</v>
      </c>
      <c r="C10" s="5" t="s">
        <v>510</v>
      </c>
      <c r="D10" s="5" t="s">
        <v>377</v>
      </c>
      <c r="E10" s="7" t="s">
        <v>491</v>
      </c>
      <c r="F10" s="5" t="s">
        <v>511</v>
      </c>
      <c r="G10" s="7" t="s">
        <v>105</v>
      </c>
      <c r="H10" s="8" t="s">
        <v>104</v>
      </c>
      <c r="I10" s="8"/>
    </row>
    <row r="11" customFormat="false" ht="15" hidden="false" customHeight="false" outlineLevel="0" collapsed="false">
      <c r="A11" s="5" t="s">
        <v>512</v>
      </c>
      <c r="B11" s="5" t="s">
        <v>489</v>
      </c>
      <c r="C11" s="5" t="s">
        <v>513</v>
      </c>
      <c r="D11" s="5" t="s">
        <v>514</v>
      </c>
      <c r="E11" s="7" t="s">
        <v>491</v>
      </c>
      <c r="F11" s="5" t="s">
        <v>515</v>
      </c>
      <c r="G11" s="7" t="s">
        <v>105</v>
      </c>
      <c r="H11" s="8" t="s">
        <v>104</v>
      </c>
      <c r="I11" s="8"/>
    </row>
    <row r="12" customFormat="false" ht="15" hidden="false" customHeight="false" outlineLevel="0" collapsed="false">
      <c r="A12" s="5" t="s">
        <v>516</v>
      </c>
      <c r="B12" s="5" t="s">
        <v>489</v>
      </c>
      <c r="C12" s="5" t="s">
        <v>517</v>
      </c>
      <c r="D12" s="5" t="s">
        <v>514</v>
      </c>
      <c r="E12" s="7" t="s">
        <v>491</v>
      </c>
      <c r="F12" s="5" t="s">
        <v>518</v>
      </c>
      <c r="G12" s="7" t="s">
        <v>105</v>
      </c>
      <c r="H12" s="8" t="s">
        <v>104</v>
      </c>
      <c r="I12" s="8"/>
    </row>
    <row r="13" customFormat="false" ht="15" hidden="false" customHeight="false" outlineLevel="0" collapsed="false">
      <c r="A13" s="5" t="s">
        <v>519</v>
      </c>
      <c r="B13" s="5" t="s">
        <v>489</v>
      </c>
      <c r="C13" s="5" t="s">
        <v>520</v>
      </c>
      <c r="D13" s="5" t="s">
        <v>320</v>
      </c>
      <c r="E13" s="7" t="s">
        <v>491</v>
      </c>
      <c r="F13" s="5" t="s">
        <v>521</v>
      </c>
      <c r="G13" s="7" t="s">
        <v>105</v>
      </c>
      <c r="H13" s="8" t="s">
        <v>104</v>
      </c>
      <c r="I13" s="8"/>
    </row>
    <row r="14" customFormat="false" ht="15" hidden="false" customHeight="false" outlineLevel="0" collapsed="false">
      <c r="A14" s="5" t="s">
        <v>522</v>
      </c>
      <c r="B14" s="5" t="s">
        <v>489</v>
      </c>
      <c r="C14" s="5" t="s">
        <v>523</v>
      </c>
      <c r="D14" s="5" t="s">
        <v>524</v>
      </c>
      <c r="E14" s="7" t="s">
        <v>491</v>
      </c>
      <c r="F14" s="5" t="s">
        <v>525</v>
      </c>
      <c r="G14" s="7" t="s">
        <v>110</v>
      </c>
      <c r="H14" s="8" t="s">
        <v>104</v>
      </c>
      <c r="I14" s="8"/>
    </row>
    <row r="15" customFormat="false" ht="15" hidden="false" customHeight="false" outlineLevel="0" collapsed="false">
      <c r="A15" s="5" t="s">
        <v>526</v>
      </c>
      <c r="B15" s="5" t="s">
        <v>489</v>
      </c>
      <c r="C15" s="5" t="s">
        <v>527</v>
      </c>
      <c r="D15" s="5" t="s">
        <v>213</v>
      </c>
      <c r="E15" s="7" t="s">
        <v>491</v>
      </c>
      <c r="F15" s="5" t="s">
        <v>528</v>
      </c>
      <c r="G15" s="7" t="s">
        <v>105</v>
      </c>
      <c r="H15" s="8" t="s">
        <v>104</v>
      </c>
      <c r="I15" s="8"/>
    </row>
    <row r="16" customFormat="false" ht="15" hidden="false" customHeight="false" outlineLevel="0" collapsed="false">
      <c r="A16" s="5" t="s">
        <v>529</v>
      </c>
      <c r="B16" s="5" t="s">
        <v>489</v>
      </c>
      <c r="C16" s="5" t="s">
        <v>530</v>
      </c>
      <c r="D16" s="5" t="s">
        <v>213</v>
      </c>
      <c r="E16" s="7" t="s">
        <v>491</v>
      </c>
      <c r="F16" s="5" t="s">
        <v>531</v>
      </c>
      <c r="G16" s="7" t="s">
        <v>105</v>
      </c>
      <c r="H16" s="8" t="s">
        <v>104</v>
      </c>
      <c r="I16" s="8"/>
    </row>
    <row r="17" customFormat="false" ht="15" hidden="false" customHeight="false" outlineLevel="0" collapsed="false">
      <c r="A17" s="5" t="s">
        <v>532</v>
      </c>
      <c r="B17" s="5" t="s">
        <v>533</v>
      </c>
      <c r="C17" s="5" t="s">
        <v>534</v>
      </c>
      <c r="D17" s="5" t="s">
        <v>141</v>
      </c>
      <c r="E17" s="7" t="s">
        <v>491</v>
      </c>
      <c r="F17" s="5" t="s">
        <v>535</v>
      </c>
      <c r="G17" s="7" t="s">
        <v>110</v>
      </c>
      <c r="H17" s="8" t="s">
        <v>104</v>
      </c>
      <c r="I17" s="8"/>
    </row>
    <row r="18" customFormat="false" ht="15" hidden="false" customHeight="false" outlineLevel="0" collapsed="false">
      <c r="A18" s="5" t="s">
        <v>536</v>
      </c>
      <c r="B18" s="5" t="s">
        <v>533</v>
      </c>
      <c r="C18" s="5" t="s">
        <v>537</v>
      </c>
      <c r="D18" s="5" t="s">
        <v>538</v>
      </c>
      <c r="E18" s="7" t="s">
        <v>491</v>
      </c>
      <c r="F18" s="5" t="s">
        <v>539</v>
      </c>
      <c r="G18" s="7" t="s">
        <v>105</v>
      </c>
      <c r="H18" s="8" t="s">
        <v>104</v>
      </c>
      <c r="I18" s="8"/>
    </row>
    <row r="19" customFormat="false" ht="15" hidden="false" customHeight="false" outlineLevel="0" collapsed="false">
      <c r="A19" s="5" t="s">
        <v>540</v>
      </c>
      <c r="B19" s="5" t="s">
        <v>533</v>
      </c>
      <c r="C19" s="5" t="s">
        <v>541</v>
      </c>
      <c r="D19" s="5" t="s">
        <v>201</v>
      </c>
      <c r="E19" s="7" t="s">
        <v>491</v>
      </c>
      <c r="F19" s="5" t="s">
        <v>542</v>
      </c>
      <c r="G19" s="7" t="s">
        <v>105</v>
      </c>
      <c r="H19" s="8" t="s">
        <v>104</v>
      </c>
      <c r="I19" s="8"/>
    </row>
    <row r="20" customFormat="false" ht="15" hidden="false" customHeight="false" outlineLevel="0" collapsed="false">
      <c r="A20" s="5" t="s">
        <v>543</v>
      </c>
      <c r="B20" s="5" t="s">
        <v>533</v>
      </c>
      <c r="C20" s="5" t="s">
        <v>544</v>
      </c>
      <c r="D20" s="5" t="s">
        <v>152</v>
      </c>
      <c r="E20" s="7" t="s">
        <v>491</v>
      </c>
      <c r="F20" s="5" t="s">
        <v>539</v>
      </c>
      <c r="G20" s="7" t="s">
        <v>105</v>
      </c>
      <c r="H20" s="8" t="s">
        <v>104</v>
      </c>
      <c r="I20" s="8"/>
    </row>
    <row r="21" customFormat="false" ht="15" hidden="false" customHeight="false" outlineLevel="0" collapsed="false">
      <c r="A21" s="5" t="s">
        <v>545</v>
      </c>
      <c r="B21" s="5" t="s">
        <v>533</v>
      </c>
      <c r="C21" s="5" t="s">
        <v>546</v>
      </c>
      <c r="D21" s="5" t="s">
        <v>547</v>
      </c>
      <c r="E21" s="7" t="s">
        <v>491</v>
      </c>
      <c r="F21" s="5" t="s">
        <v>539</v>
      </c>
      <c r="G21" s="7" t="s">
        <v>105</v>
      </c>
      <c r="H21" s="8" t="s">
        <v>104</v>
      </c>
      <c r="I21" s="8"/>
    </row>
    <row r="22" customFormat="false" ht="15" hidden="false" customHeight="false" outlineLevel="0" collapsed="false">
      <c r="A22" s="5" t="s">
        <v>548</v>
      </c>
      <c r="B22" s="5" t="s">
        <v>533</v>
      </c>
      <c r="C22" s="5" t="s">
        <v>549</v>
      </c>
      <c r="D22" s="5" t="s">
        <v>201</v>
      </c>
      <c r="E22" s="7" t="s">
        <v>491</v>
      </c>
      <c r="F22" s="5" t="s">
        <v>539</v>
      </c>
      <c r="G22" s="7" t="s">
        <v>105</v>
      </c>
      <c r="H22" s="8" t="s">
        <v>104</v>
      </c>
      <c r="I22" s="8"/>
    </row>
    <row r="23" customFormat="false" ht="15" hidden="false" customHeight="false" outlineLevel="0" collapsed="false">
      <c r="A23" s="5" t="s">
        <v>550</v>
      </c>
      <c r="B23" s="5" t="s">
        <v>533</v>
      </c>
      <c r="C23" s="5" t="s">
        <v>551</v>
      </c>
      <c r="D23" s="5" t="s">
        <v>213</v>
      </c>
      <c r="E23" s="7" t="s">
        <v>491</v>
      </c>
      <c r="F23" s="5" t="s">
        <v>552</v>
      </c>
      <c r="G23" s="7" t="s">
        <v>110</v>
      </c>
      <c r="H23" s="8" t="s">
        <v>104</v>
      </c>
      <c r="I23" s="8"/>
    </row>
    <row r="24" customFormat="false" ht="15" hidden="false" customHeight="false" outlineLevel="0" collapsed="false">
      <c r="A24" s="5" t="s">
        <v>553</v>
      </c>
      <c r="B24" s="5" t="s">
        <v>533</v>
      </c>
      <c r="C24" s="5" t="s">
        <v>554</v>
      </c>
      <c r="D24" s="5" t="s">
        <v>213</v>
      </c>
      <c r="E24" s="7" t="s">
        <v>491</v>
      </c>
      <c r="F24" s="5" t="s">
        <v>555</v>
      </c>
      <c r="G24" s="7" t="s">
        <v>105</v>
      </c>
      <c r="H24" s="8" t="s">
        <v>104</v>
      </c>
      <c r="I24" s="8"/>
    </row>
    <row r="25" customFormat="false" ht="15" hidden="false" customHeight="false" outlineLevel="0" collapsed="false">
      <c r="A25" s="5" t="s">
        <v>556</v>
      </c>
      <c r="B25" s="5" t="s">
        <v>533</v>
      </c>
      <c r="C25" s="5" t="s">
        <v>557</v>
      </c>
      <c r="D25" s="5" t="s">
        <v>158</v>
      </c>
      <c r="E25" s="7" t="s">
        <v>558</v>
      </c>
      <c r="F25" s="5" t="s">
        <v>539</v>
      </c>
      <c r="G25" s="7" t="s">
        <v>105</v>
      </c>
      <c r="H25" s="8" t="s">
        <v>104</v>
      </c>
      <c r="I25" s="8"/>
    </row>
    <row r="26" customFormat="false" ht="23.85" hidden="false" customHeight="false" outlineLevel="0" collapsed="false">
      <c r="A26" s="5" t="s">
        <v>559</v>
      </c>
      <c r="B26" s="5" t="s">
        <v>533</v>
      </c>
      <c r="C26" s="5" t="s">
        <v>560</v>
      </c>
      <c r="D26" s="5" t="s">
        <v>561</v>
      </c>
      <c r="E26" s="7" t="s">
        <v>491</v>
      </c>
      <c r="F26" s="5" t="s">
        <v>562</v>
      </c>
      <c r="G26" s="7" t="s">
        <v>110</v>
      </c>
      <c r="H26" s="8" t="s">
        <v>104</v>
      </c>
      <c r="I26" s="8"/>
    </row>
    <row r="27" customFormat="false" ht="15" hidden="false" customHeight="false" outlineLevel="0" collapsed="false">
      <c r="A27" s="5" t="s">
        <v>563</v>
      </c>
      <c r="B27" s="5" t="s">
        <v>564</v>
      </c>
      <c r="C27" s="5" t="s">
        <v>565</v>
      </c>
      <c r="D27" s="5" t="s">
        <v>566</v>
      </c>
      <c r="E27" s="7" t="s">
        <v>491</v>
      </c>
      <c r="F27" s="5" t="s">
        <v>567</v>
      </c>
      <c r="G27" s="7" t="s">
        <v>110</v>
      </c>
      <c r="H27" s="8" t="s">
        <v>104</v>
      </c>
      <c r="I27" s="8"/>
    </row>
    <row r="28" customFormat="false" ht="15" hidden="false" customHeight="false" outlineLevel="0" collapsed="false">
      <c r="A28" s="5" t="s">
        <v>568</v>
      </c>
      <c r="B28" s="5" t="s">
        <v>564</v>
      </c>
      <c r="C28" s="5" t="s">
        <v>569</v>
      </c>
      <c r="D28" s="5" t="s">
        <v>570</v>
      </c>
      <c r="E28" s="7" t="s">
        <v>558</v>
      </c>
      <c r="F28" s="5" t="s">
        <v>539</v>
      </c>
      <c r="G28" s="7" t="s">
        <v>105</v>
      </c>
      <c r="H28" s="8" t="s">
        <v>104</v>
      </c>
      <c r="I28" s="8"/>
    </row>
    <row r="29" customFormat="false" ht="15" hidden="false" customHeight="false" outlineLevel="0" collapsed="false">
      <c r="A29" s="5" t="s">
        <v>571</v>
      </c>
      <c r="B29" s="5" t="s">
        <v>564</v>
      </c>
      <c r="C29" s="5" t="s">
        <v>572</v>
      </c>
      <c r="D29" s="5" t="s">
        <v>573</v>
      </c>
      <c r="E29" s="7" t="s">
        <v>491</v>
      </c>
      <c r="F29" s="5" t="s">
        <v>574</v>
      </c>
      <c r="G29" s="7" t="s">
        <v>105</v>
      </c>
      <c r="H29" s="8" t="s">
        <v>104</v>
      </c>
      <c r="I29" s="8"/>
    </row>
    <row r="30" customFormat="false" ht="15" hidden="false" customHeight="false" outlineLevel="0" collapsed="false">
      <c r="A30" s="5" t="s">
        <v>575</v>
      </c>
      <c r="B30" s="5" t="s">
        <v>564</v>
      </c>
      <c r="C30" s="5" t="s">
        <v>576</v>
      </c>
      <c r="D30" s="5" t="s">
        <v>429</v>
      </c>
      <c r="E30" s="7" t="s">
        <v>491</v>
      </c>
      <c r="F30" s="5" t="s">
        <v>539</v>
      </c>
      <c r="G30" s="7" t="s">
        <v>105</v>
      </c>
      <c r="H30" s="8" t="s">
        <v>104</v>
      </c>
      <c r="I30" s="8"/>
    </row>
    <row r="31" customFormat="false" ht="15" hidden="false" customHeight="false" outlineLevel="0" collapsed="false">
      <c r="A31" s="5" t="s">
        <v>577</v>
      </c>
      <c r="B31" s="5" t="s">
        <v>564</v>
      </c>
      <c r="C31" s="5" t="s">
        <v>578</v>
      </c>
      <c r="D31" s="5" t="s">
        <v>213</v>
      </c>
      <c r="E31" s="7" t="s">
        <v>491</v>
      </c>
      <c r="F31" s="5" t="s">
        <v>579</v>
      </c>
      <c r="G31" s="7" t="s">
        <v>105</v>
      </c>
      <c r="H31" s="8" t="s">
        <v>104</v>
      </c>
      <c r="I31" s="8"/>
    </row>
    <row r="32" customFormat="false" ht="15" hidden="false" customHeight="false" outlineLevel="0" collapsed="false">
      <c r="A32" s="5" t="s">
        <v>580</v>
      </c>
      <c r="B32" s="5" t="s">
        <v>564</v>
      </c>
      <c r="C32" s="5" t="s">
        <v>581</v>
      </c>
      <c r="D32" s="5" t="s">
        <v>213</v>
      </c>
      <c r="E32" s="7" t="s">
        <v>558</v>
      </c>
      <c r="F32" s="5" t="s">
        <v>539</v>
      </c>
      <c r="G32" s="7" t="s">
        <v>105</v>
      </c>
      <c r="H32" s="8" t="s">
        <v>104</v>
      </c>
      <c r="I32" s="8"/>
    </row>
    <row r="33" customFormat="false" ht="15" hidden="false" customHeight="false" outlineLevel="0" collapsed="false">
      <c r="A33" s="5" t="s">
        <v>582</v>
      </c>
      <c r="B33" s="5" t="s">
        <v>564</v>
      </c>
      <c r="C33" s="5" t="s">
        <v>583</v>
      </c>
      <c r="D33" s="5" t="s">
        <v>213</v>
      </c>
      <c r="E33" s="7" t="s">
        <v>491</v>
      </c>
      <c r="F33" s="5" t="s">
        <v>584</v>
      </c>
      <c r="G33" s="7" t="s">
        <v>110</v>
      </c>
      <c r="H33" s="8" t="s">
        <v>104</v>
      </c>
      <c r="I33" s="8"/>
    </row>
    <row r="34" customFormat="false" ht="15" hidden="false" customHeight="false" outlineLevel="0" collapsed="false">
      <c r="A34" s="5" t="s">
        <v>585</v>
      </c>
      <c r="B34" s="5" t="s">
        <v>564</v>
      </c>
      <c r="C34" s="5" t="s">
        <v>586</v>
      </c>
      <c r="D34" s="5" t="s">
        <v>587</v>
      </c>
      <c r="E34" s="7" t="s">
        <v>41</v>
      </c>
      <c r="F34" s="5" t="s">
        <v>588</v>
      </c>
      <c r="G34" s="7" t="s">
        <v>110</v>
      </c>
      <c r="H34" s="8" t="s">
        <v>104</v>
      </c>
      <c r="I34" s="8"/>
    </row>
    <row r="35" customFormat="false" ht="15" hidden="false" customHeight="false" outlineLevel="0" collapsed="false">
      <c r="A35" s="5" t="s">
        <v>589</v>
      </c>
      <c r="B35" s="5" t="s">
        <v>590</v>
      </c>
      <c r="C35" s="5" t="s">
        <v>591</v>
      </c>
      <c r="D35" s="5" t="s">
        <v>592</v>
      </c>
      <c r="E35" s="7" t="s">
        <v>491</v>
      </c>
      <c r="F35" s="5" t="s">
        <v>593</v>
      </c>
      <c r="G35" s="7" t="s">
        <v>105</v>
      </c>
      <c r="H35" s="8" t="s">
        <v>104</v>
      </c>
      <c r="I35" s="8"/>
    </row>
    <row r="36" customFormat="false" ht="15" hidden="false" customHeight="false" outlineLevel="0" collapsed="false">
      <c r="A36" s="5" t="s">
        <v>594</v>
      </c>
      <c r="B36" s="5" t="s">
        <v>590</v>
      </c>
      <c r="C36" s="5" t="s">
        <v>595</v>
      </c>
      <c r="D36" s="5" t="s">
        <v>596</v>
      </c>
      <c r="E36" s="7" t="s">
        <v>491</v>
      </c>
      <c r="F36" s="5" t="s">
        <v>597</v>
      </c>
      <c r="G36" s="7" t="s">
        <v>105</v>
      </c>
      <c r="H36" s="8" t="s">
        <v>104</v>
      </c>
      <c r="I36" s="8"/>
    </row>
    <row r="37" customFormat="false" ht="15" hidden="false" customHeight="false" outlineLevel="0" collapsed="false">
      <c r="A37" s="5" t="s">
        <v>598</v>
      </c>
      <c r="B37" s="5" t="s">
        <v>590</v>
      </c>
      <c r="C37" s="5" t="s">
        <v>599</v>
      </c>
      <c r="D37" s="5" t="s">
        <v>600</v>
      </c>
      <c r="E37" s="7" t="s">
        <v>491</v>
      </c>
      <c r="F37" s="5" t="s">
        <v>601</v>
      </c>
      <c r="G37" s="7" t="s">
        <v>105</v>
      </c>
      <c r="H37" s="8" t="s">
        <v>104</v>
      </c>
      <c r="I37" s="8"/>
    </row>
    <row r="38" customFormat="false" ht="15" hidden="false" customHeight="false" outlineLevel="0" collapsed="false">
      <c r="A38" s="5" t="s">
        <v>602</v>
      </c>
      <c r="B38" s="5" t="s">
        <v>590</v>
      </c>
      <c r="C38" s="5" t="s">
        <v>603</v>
      </c>
      <c r="D38" s="5" t="s">
        <v>604</v>
      </c>
      <c r="E38" s="7" t="s">
        <v>491</v>
      </c>
      <c r="F38" s="5" t="s">
        <v>605</v>
      </c>
      <c r="G38" s="7" t="s">
        <v>110</v>
      </c>
      <c r="H38" s="8" t="s">
        <v>104</v>
      </c>
      <c r="I38" s="8"/>
    </row>
    <row r="39" customFormat="false" ht="15" hidden="false" customHeight="false" outlineLevel="0" collapsed="false">
      <c r="A39" s="5" t="s">
        <v>606</v>
      </c>
      <c r="B39" s="5" t="s">
        <v>590</v>
      </c>
      <c r="C39" s="5" t="s">
        <v>607</v>
      </c>
      <c r="D39" s="5" t="s">
        <v>608</v>
      </c>
      <c r="E39" s="7" t="s">
        <v>491</v>
      </c>
      <c r="F39" s="5" t="s">
        <v>605</v>
      </c>
      <c r="G39" s="7" t="s">
        <v>110</v>
      </c>
      <c r="H39" s="8" t="s">
        <v>104</v>
      </c>
      <c r="I39" s="8"/>
    </row>
    <row r="40" customFormat="false" ht="15" hidden="false" customHeight="false" outlineLevel="0" collapsed="false">
      <c r="A40" s="5" t="s">
        <v>609</v>
      </c>
      <c r="B40" s="5" t="s">
        <v>590</v>
      </c>
      <c r="C40" s="5" t="s">
        <v>610</v>
      </c>
      <c r="D40" s="5" t="s">
        <v>611</v>
      </c>
      <c r="E40" s="7" t="s">
        <v>491</v>
      </c>
      <c r="F40" s="5" t="s">
        <v>612</v>
      </c>
      <c r="G40" s="7" t="s">
        <v>105</v>
      </c>
      <c r="H40" s="8" t="s">
        <v>104</v>
      </c>
      <c r="I40" s="8"/>
    </row>
    <row r="41" customFormat="false" ht="15" hidden="false" customHeight="false" outlineLevel="0" collapsed="false">
      <c r="A41" s="5" t="s">
        <v>613</v>
      </c>
      <c r="B41" s="5" t="s">
        <v>590</v>
      </c>
      <c r="C41" s="5" t="s">
        <v>614</v>
      </c>
      <c r="D41" s="5" t="s">
        <v>514</v>
      </c>
      <c r="E41" s="7" t="s">
        <v>491</v>
      </c>
      <c r="F41" s="5" t="s">
        <v>615</v>
      </c>
      <c r="G41" s="7" t="s">
        <v>105</v>
      </c>
      <c r="H41" s="8" t="s">
        <v>104</v>
      </c>
      <c r="I41" s="8"/>
    </row>
    <row r="42" customFormat="false" ht="15" hidden="false" customHeight="false" outlineLevel="0" collapsed="false">
      <c r="A42" s="5" t="s">
        <v>616</v>
      </c>
      <c r="B42" s="5" t="s">
        <v>590</v>
      </c>
      <c r="C42" s="5" t="s">
        <v>617</v>
      </c>
      <c r="D42" s="5" t="s">
        <v>213</v>
      </c>
      <c r="E42" s="7" t="s">
        <v>41</v>
      </c>
      <c r="F42" s="5" t="s">
        <v>618</v>
      </c>
      <c r="G42" s="7" t="s">
        <v>110</v>
      </c>
      <c r="H42" s="8" t="s">
        <v>104</v>
      </c>
      <c r="I42" s="8"/>
    </row>
    <row r="43" customFormat="false" ht="15" hidden="false" customHeight="false" outlineLevel="0" collapsed="false">
      <c r="A43" s="5" t="s">
        <v>619</v>
      </c>
      <c r="B43" s="5" t="s">
        <v>620</v>
      </c>
      <c r="C43" s="5" t="s">
        <v>621</v>
      </c>
      <c r="D43" s="5" t="s">
        <v>213</v>
      </c>
      <c r="E43" s="7" t="s">
        <v>491</v>
      </c>
      <c r="F43" s="5" t="s">
        <v>622</v>
      </c>
      <c r="G43" s="7" t="s">
        <v>105</v>
      </c>
      <c r="H43" s="8" t="s">
        <v>104</v>
      </c>
      <c r="I43" s="8"/>
    </row>
    <row r="44" customFormat="false" ht="15" hidden="false" customHeight="false" outlineLevel="0" collapsed="false">
      <c r="A44" s="5" t="s">
        <v>623</v>
      </c>
      <c r="B44" s="5" t="s">
        <v>620</v>
      </c>
      <c r="C44" s="5" t="s">
        <v>624</v>
      </c>
      <c r="D44" s="5" t="s">
        <v>213</v>
      </c>
      <c r="E44" s="7" t="s">
        <v>491</v>
      </c>
      <c r="F44" s="5" t="s">
        <v>625</v>
      </c>
      <c r="G44" s="7" t="s">
        <v>110</v>
      </c>
      <c r="H44" s="8" t="s">
        <v>104</v>
      </c>
      <c r="I44" s="8"/>
    </row>
    <row r="45" customFormat="false" ht="23.85" hidden="false" customHeight="false" outlineLevel="0" collapsed="false">
      <c r="A45" s="5" t="s">
        <v>626</v>
      </c>
      <c r="B45" s="5" t="s">
        <v>620</v>
      </c>
      <c r="C45" s="5" t="s">
        <v>627</v>
      </c>
      <c r="D45" s="5" t="s">
        <v>213</v>
      </c>
      <c r="E45" s="7" t="s">
        <v>491</v>
      </c>
      <c r="F45" s="5" t="s">
        <v>628</v>
      </c>
      <c r="G45" s="7" t="s">
        <v>110</v>
      </c>
      <c r="H45" s="8" t="s">
        <v>104</v>
      </c>
      <c r="I45" s="8"/>
    </row>
    <row r="46" customFormat="false" ht="15" hidden="false" customHeight="false" outlineLevel="0" collapsed="false">
      <c r="A46" s="5" t="s">
        <v>629</v>
      </c>
      <c r="B46" s="5" t="s">
        <v>620</v>
      </c>
      <c r="C46" s="5" t="s">
        <v>630</v>
      </c>
      <c r="D46" s="5" t="s">
        <v>213</v>
      </c>
      <c r="E46" s="7" t="s">
        <v>558</v>
      </c>
      <c r="F46" s="5" t="s">
        <v>539</v>
      </c>
      <c r="G46" s="7" t="s">
        <v>105</v>
      </c>
      <c r="H46" s="8" t="s">
        <v>104</v>
      </c>
      <c r="I46" s="8"/>
    </row>
    <row r="47" customFormat="false" ht="15" hidden="false" customHeight="false" outlineLevel="0" collapsed="false">
      <c r="A47" s="5" t="s">
        <v>631</v>
      </c>
      <c r="B47" s="5" t="s">
        <v>620</v>
      </c>
      <c r="C47" s="5" t="s">
        <v>632</v>
      </c>
      <c r="D47" s="5" t="s">
        <v>213</v>
      </c>
      <c r="E47" s="7" t="s">
        <v>491</v>
      </c>
      <c r="F47" s="5" t="s">
        <v>633</v>
      </c>
      <c r="G47" s="7" t="s">
        <v>105</v>
      </c>
      <c r="H47" s="8" t="s">
        <v>104</v>
      </c>
      <c r="I47" s="8"/>
    </row>
    <row r="48" customFormat="false" ht="15" hidden="false" customHeight="false" outlineLevel="0" collapsed="false">
      <c r="A48" s="5" t="s">
        <v>634</v>
      </c>
      <c r="B48" s="5" t="s">
        <v>620</v>
      </c>
      <c r="C48" s="5" t="s">
        <v>635</v>
      </c>
      <c r="D48" s="5" t="s">
        <v>213</v>
      </c>
      <c r="E48" s="7" t="s">
        <v>491</v>
      </c>
      <c r="F48" s="5" t="s">
        <v>636</v>
      </c>
      <c r="G48" s="7" t="s">
        <v>110</v>
      </c>
      <c r="H48" s="8" t="s">
        <v>104</v>
      </c>
      <c r="I48" s="8"/>
    </row>
    <row r="49" customFormat="false" ht="23.85" hidden="false" customHeight="false" outlineLevel="0" collapsed="false">
      <c r="A49" s="5" t="s">
        <v>637</v>
      </c>
      <c r="B49" s="5" t="s">
        <v>638</v>
      </c>
      <c r="C49" s="5" t="s">
        <v>639</v>
      </c>
      <c r="D49" s="5" t="s">
        <v>213</v>
      </c>
      <c r="E49" s="7" t="s">
        <v>491</v>
      </c>
      <c r="F49" s="5" t="s">
        <v>640</v>
      </c>
      <c r="G49" s="7" t="s">
        <v>105</v>
      </c>
      <c r="H49" s="8" t="s">
        <v>104</v>
      </c>
      <c r="I49" s="8"/>
    </row>
    <row r="50" customFormat="false" ht="15" hidden="false" customHeight="false" outlineLevel="0" collapsed="false">
      <c r="A50" s="5" t="s">
        <v>641</v>
      </c>
      <c r="B50" s="5" t="s">
        <v>638</v>
      </c>
      <c r="C50" s="5" t="s">
        <v>642</v>
      </c>
      <c r="D50" s="5" t="s">
        <v>213</v>
      </c>
      <c r="E50" s="7" t="s">
        <v>491</v>
      </c>
      <c r="F50" s="5" t="s">
        <v>643</v>
      </c>
      <c r="G50" s="7" t="s">
        <v>105</v>
      </c>
      <c r="H50" s="8" t="s">
        <v>104</v>
      </c>
      <c r="I50" s="8"/>
    </row>
    <row r="51" customFormat="false" ht="23.85" hidden="false" customHeight="false" outlineLevel="0" collapsed="false">
      <c r="A51" s="5" t="s">
        <v>644</v>
      </c>
      <c r="B51" s="5" t="s">
        <v>638</v>
      </c>
      <c r="C51" s="5" t="s">
        <v>645</v>
      </c>
      <c r="D51" s="5" t="s">
        <v>213</v>
      </c>
      <c r="E51" s="7" t="s">
        <v>491</v>
      </c>
      <c r="F51" s="5" t="s">
        <v>646</v>
      </c>
      <c r="G51" s="7" t="s">
        <v>110</v>
      </c>
      <c r="H51" s="8" t="s">
        <v>104</v>
      </c>
      <c r="I51" s="8"/>
    </row>
    <row r="52" customFormat="false" ht="15" hidden="false" customHeight="false" outlineLevel="0" collapsed="false">
      <c r="A52" s="5" t="s">
        <v>647</v>
      </c>
      <c r="B52" s="5" t="s">
        <v>638</v>
      </c>
      <c r="C52" s="5" t="s">
        <v>648</v>
      </c>
      <c r="D52" s="5" t="s">
        <v>213</v>
      </c>
      <c r="E52" s="7" t="s">
        <v>491</v>
      </c>
      <c r="F52" s="5" t="s">
        <v>649</v>
      </c>
      <c r="G52" s="7" t="s">
        <v>105</v>
      </c>
      <c r="H52" s="8" t="s">
        <v>104</v>
      </c>
      <c r="I52" s="8"/>
    </row>
    <row r="53" customFormat="false" ht="23.85" hidden="false" customHeight="false" outlineLevel="0" collapsed="false">
      <c r="A53" s="5" t="s">
        <v>650</v>
      </c>
      <c r="B53" s="5" t="s">
        <v>638</v>
      </c>
      <c r="C53" s="5" t="s">
        <v>651</v>
      </c>
      <c r="D53" s="5" t="s">
        <v>213</v>
      </c>
      <c r="E53" s="7" t="s">
        <v>491</v>
      </c>
      <c r="F53" s="5" t="s">
        <v>652</v>
      </c>
      <c r="G53" s="7" t="s">
        <v>110</v>
      </c>
      <c r="H53" s="8" t="s">
        <v>104</v>
      </c>
      <c r="I53" s="8"/>
    </row>
    <row r="54" customFormat="false" ht="15" hidden="false" customHeight="false" outlineLevel="0" collapsed="false">
      <c r="A54" s="5" t="s">
        <v>653</v>
      </c>
      <c r="B54" s="5" t="s">
        <v>638</v>
      </c>
      <c r="C54" s="5" t="s">
        <v>654</v>
      </c>
      <c r="D54" s="5" t="s">
        <v>213</v>
      </c>
      <c r="E54" s="7" t="s">
        <v>491</v>
      </c>
      <c r="F54" s="5" t="s">
        <v>539</v>
      </c>
      <c r="G54" s="7" t="s">
        <v>105</v>
      </c>
      <c r="H54" s="8" t="s">
        <v>104</v>
      </c>
      <c r="I54" s="8"/>
    </row>
    <row r="55" customFormat="false" ht="15" hidden="false" customHeight="false" outlineLevel="0" collapsed="false">
      <c r="A55" s="5" t="s">
        <v>655</v>
      </c>
      <c r="B55" s="5" t="s">
        <v>638</v>
      </c>
      <c r="C55" s="5" t="s">
        <v>656</v>
      </c>
      <c r="D55" s="5" t="s">
        <v>213</v>
      </c>
      <c r="E55" s="7" t="s">
        <v>491</v>
      </c>
      <c r="F55" s="5" t="s">
        <v>657</v>
      </c>
      <c r="G55" s="7" t="s">
        <v>105</v>
      </c>
      <c r="H55" s="8" t="s">
        <v>104</v>
      </c>
      <c r="I55" s="8"/>
    </row>
    <row r="56" customFormat="false" ht="15" hidden="false" customHeight="false" outlineLevel="0" collapsed="false">
      <c r="A56" s="5" t="s">
        <v>658</v>
      </c>
      <c r="B56" s="5" t="s">
        <v>638</v>
      </c>
      <c r="C56" s="5" t="s">
        <v>659</v>
      </c>
      <c r="D56" s="5" t="s">
        <v>213</v>
      </c>
      <c r="E56" s="7" t="s">
        <v>491</v>
      </c>
      <c r="F56" s="5" t="s">
        <v>660</v>
      </c>
      <c r="G56" s="7" t="s">
        <v>105</v>
      </c>
      <c r="H56" s="8" t="s">
        <v>104</v>
      </c>
      <c r="I56" s="8"/>
    </row>
    <row r="57" customFormat="false" ht="15" hidden="false" customHeight="false" outlineLevel="0" collapsed="false">
      <c r="A57" s="5" t="s">
        <v>661</v>
      </c>
      <c r="B57" s="5" t="s">
        <v>638</v>
      </c>
      <c r="C57" s="5" t="s">
        <v>662</v>
      </c>
      <c r="D57" s="5" t="s">
        <v>213</v>
      </c>
      <c r="E57" s="7" t="s">
        <v>491</v>
      </c>
      <c r="F57" s="5" t="s">
        <v>663</v>
      </c>
      <c r="G57" s="7" t="s">
        <v>110</v>
      </c>
      <c r="H57" s="8" t="s">
        <v>104</v>
      </c>
      <c r="I57" s="8"/>
    </row>
    <row r="58" customFormat="false" ht="15" hidden="false" customHeight="false" outlineLevel="0" collapsed="false">
      <c r="A58" s="5" t="s">
        <v>664</v>
      </c>
      <c r="B58" s="5" t="s">
        <v>665</v>
      </c>
      <c r="C58" s="5" t="s">
        <v>666</v>
      </c>
      <c r="D58" s="5" t="s">
        <v>213</v>
      </c>
      <c r="E58" s="7" t="s">
        <v>491</v>
      </c>
      <c r="F58" s="5" t="s">
        <v>667</v>
      </c>
      <c r="G58" s="7" t="s">
        <v>105</v>
      </c>
      <c r="H58" s="8" t="s">
        <v>104</v>
      </c>
      <c r="I58" s="8"/>
    </row>
    <row r="59" customFormat="false" ht="15" hidden="false" customHeight="false" outlineLevel="0" collapsed="false">
      <c r="A59" s="5" t="s">
        <v>668</v>
      </c>
      <c r="B59" s="5" t="s">
        <v>665</v>
      </c>
      <c r="C59" s="5" t="s">
        <v>669</v>
      </c>
      <c r="D59" s="5" t="s">
        <v>213</v>
      </c>
      <c r="E59" s="7" t="s">
        <v>491</v>
      </c>
      <c r="F59" s="5" t="s">
        <v>670</v>
      </c>
      <c r="G59" s="7" t="s">
        <v>105</v>
      </c>
      <c r="H59" s="8" t="s">
        <v>104</v>
      </c>
      <c r="I59" s="8"/>
    </row>
    <row r="60" customFormat="false" ht="15" hidden="false" customHeight="false" outlineLevel="0" collapsed="false">
      <c r="A60" s="5" t="s">
        <v>671</v>
      </c>
      <c r="B60" s="5" t="s">
        <v>665</v>
      </c>
      <c r="C60" s="5" t="s">
        <v>672</v>
      </c>
      <c r="D60" s="5" t="s">
        <v>213</v>
      </c>
      <c r="E60" s="7" t="s">
        <v>491</v>
      </c>
      <c r="F60" s="5" t="s">
        <v>670</v>
      </c>
      <c r="G60" s="7" t="s">
        <v>105</v>
      </c>
      <c r="H60" s="8" t="s">
        <v>104</v>
      </c>
      <c r="I60" s="8"/>
    </row>
    <row r="61" customFormat="false" ht="15" hidden="false" customHeight="false" outlineLevel="0" collapsed="false">
      <c r="A61" s="5" t="s">
        <v>673</v>
      </c>
      <c r="B61" s="5" t="s">
        <v>665</v>
      </c>
      <c r="C61" s="5" t="s">
        <v>674</v>
      </c>
      <c r="D61" s="5" t="s">
        <v>213</v>
      </c>
      <c r="E61" s="7" t="s">
        <v>558</v>
      </c>
      <c r="F61" s="5" t="s">
        <v>675</v>
      </c>
      <c r="G61" s="7" t="s">
        <v>110</v>
      </c>
      <c r="H61" s="8" t="s">
        <v>104</v>
      </c>
      <c r="I61" s="8"/>
    </row>
    <row r="62" customFormat="false" ht="15" hidden="false" customHeight="false" outlineLevel="0" collapsed="false">
      <c r="A62" s="5" t="s">
        <v>676</v>
      </c>
      <c r="B62" s="5" t="s">
        <v>665</v>
      </c>
      <c r="C62" s="5" t="s">
        <v>677</v>
      </c>
      <c r="D62" s="5" t="s">
        <v>213</v>
      </c>
      <c r="E62" s="7" t="s">
        <v>491</v>
      </c>
      <c r="F62" s="5" t="s">
        <v>678</v>
      </c>
      <c r="G62" s="7" t="s">
        <v>105</v>
      </c>
      <c r="H62" s="8" t="s">
        <v>104</v>
      </c>
      <c r="I62" s="8"/>
    </row>
    <row r="63" customFormat="false" ht="15" hidden="false" customHeight="false" outlineLevel="0" collapsed="false">
      <c r="A63" s="5" t="s">
        <v>679</v>
      </c>
      <c r="B63" s="5" t="s">
        <v>665</v>
      </c>
      <c r="C63" s="5" t="s">
        <v>680</v>
      </c>
      <c r="D63" s="5" t="s">
        <v>213</v>
      </c>
      <c r="E63" s="7" t="s">
        <v>558</v>
      </c>
      <c r="F63" s="5" t="s">
        <v>681</v>
      </c>
      <c r="G63" s="7" t="s">
        <v>110</v>
      </c>
      <c r="H63" s="8" t="s">
        <v>104</v>
      </c>
      <c r="I63" s="8"/>
    </row>
    <row r="64" customFormat="false" ht="15" hidden="false" customHeight="false" outlineLevel="0" collapsed="false">
      <c r="A64" s="5" t="s">
        <v>682</v>
      </c>
      <c r="B64" s="5" t="s">
        <v>665</v>
      </c>
      <c r="C64" s="5" t="s">
        <v>683</v>
      </c>
      <c r="D64" s="5" t="s">
        <v>213</v>
      </c>
      <c r="E64" s="7" t="s">
        <v>491</v>
      </c>
      <c r="F64" s="5" t="s">
        <v>684</v>
      </c>
      <c r="G64" s="7" t="s">
        <v>110</v>
      </c>
      <c r="H64" s="8" t="s">
        <v>104</v>
      </c>
      <c r="I64" s="8"/>
    </row>
    <row r="65" customFormat="false" ht="15" hidden="false" customHeight="false" outlineLevel="0" collapsed="false">
      <c r="A65" s="5" t="s">
        <v>685</v>
      </c>
      <c r="B65" s="5" t="s">
        <v>686</v>
      </c>
      <c r="C65" s="5" t="s">
        <v>687</v>
      </c>
      <c r="D65" s="5" t="s">
        <v>213</v>
      </c>
      <c r="E65" s="7" t="s">
        <v>491</v>
      </c>
      <c r="F65" s="5" t="s">
        <v>688</v>
      </c>
      <c r="G65" s="7" t="s">
        <v>110</v>
      </c>
      <c r="H65" s="8" t="s">
        <v>104</v>
      </c>
      <c r="I65" s="8"/>
    </row>
    <row r="66" customFormat="false" ht="15" hidden="false" customHeight="false" outlineLevel="0" collapsed="false">
      <c r="A66" s="5" t="s">
        <v>689</v>
      </c>
      <c r="B66" s="5" t="s">
        <v>686</v>
      </c>
      <c r="C66" s="5" t="s">
        <v>690</v>
      </c>
      <c r="D66" s="5" t="s">
        <v>213</v>
      </c>
      <c r="E66" s="7" t="s">
        <v>491</v>
      </c>
      <c r="F66" s="5" t="s">
        <v>691</v>
      </c>
      <c r="G66" s="7" t="s">
        <v>110</v>
      </c>
      <c r="H66" s="8" t="s">
        <v>104</v>
      </c>
      <c r="I66" s="8"/>
    </row>
    <row r="67" customFormat="false" ht="15" hidden="false" customHeight="false" outlineLevel="0" collapsed="false">
      <c r="A67" s="5" t="s">
        <v>692</v>
      </c>
      <c r="B67" s="5" t="s">
        <v>686</v>
      </c>
      <c r="C67" s="5" t="s">
        <v>693</v>
      </c>
      <c r="D67" s="5" t="s">
        <v>213</v>
      </c>
      <c r="E67" s="7" t="s">
        <v>558</v>
      </c>
      <c r="F67" s="5" t="s">
        <v>694</v>
      </c>
      <c r="G67" s="7" t="s">
        <v>105</v>
      </c>
      <c r="H67" s="8" t="s">
        <v>104</v>
      </c>
      <c r="I67" s="8"/>
    </row>
    <row r="68" customFormat="false" ht="15" hidden="false" customHeight="false" outlineLevel="0" collapsed="false">
      <c r="A68" s="5" t="s">
        <v>695</v>
      </c>
      <c r="B68" s="5" t="s">
        <v>686</v>
      </c>
      <c r="C68" s="5" t="s">
        <v>696</v>
      </c>
      <c r="D68" s="5" t="s">
        <v>213</v>
      </c>
      <c r="E68" s="7" t="s">
        <v>491</v>
      </c>
      <c r="F68" s="5" t="s">
        <v>697</v>
      </c>
      <c r="G68" s="7" t="s">
        <v>110</v>
      </c>
      <c r="H68" s="8" t="s">
        <v>104</v>
      </c>
      <c r="I68" s="8"/>
    </row>
    <row r="69" customFormat="false" ht="15" hidden="false" customHeight="false" outlineLevel="0" collapsed="false">
      <c r="A69" s="5" t="s">
        <v>698</v>
      </c>
      <c r="B69" s="5" t="s">
        <v>686</v>
      </c>
      <c r="C69" s="5" t="s">
        <v>699</v>
      </c>
      <c r="D69" s="5" t="s">
        <v>213</v>
      </c>
      <c r="E69" s="7" t="s">
        <v>491</v>
      </c>
      <c r="F69" s="5" t="s">
        <v>625</v>
      </c>
      <c r="G69" s="7" t="s">
        <v>110</v>
      </c>
      <c r="H69" s="8" t="s">
        <v>104</v>
      </c>
      <c r="I69" s="8"/>
    </row>
    <row r="70" customFormat="false" ht="15" hidden="false" customHeight="false" outlineLevel="0" collapsed="false">
      <c r="A70" s="5" t="s">
        <v>700</v>
      </c>
      <c r="B70" s="5" t="s">
        <v>701</v>
      </c>
      <c r="C70" s="5" t="s">
        <v>702</v>
      </c>
      <c r="D70" s="5" t="s">
        <v>464</v>
      </c>
      <c r="E70" s="7" t="s">
        <v>491</v>
      </c>
      <c r="F70" s="5" t="s">
        <v>601</v>
      </c>
      <c r="G70" s="7" t="s">
        <v>105</v>
      </c>
      <c r="H70" s="8" t="s">
        <v>104</v>
      </c>
      <c r="I70" s="8"/>
    </row>
    <row r="71" customFormat="false" ht="15" hidden="false" customHeight="false" outlineLevel="0" collapsed="false">
      <c r="A71" s="5" t="s">
        <v>703</v>
      </c>
      <c r="B71" s="5" t="s">
        <v>701</v>
      </c>
      <c r="C71" s="5" t="s">
        <v>704</v>
      </c>
      <c r="D71" s="5" t="s">
        <v>705</v>
      </c>
      <c r="E71" s="7" t="s">
        <v>491</v>
      </c>
      <c r="F71" s="5" t="s">
        <v>601</v>
      </c>
      <c r="G71" s="7" t="s">
        <v>105</v>
      </c>
      <c r="H71" s="8" t="s">
        <v>104</v>
      </c>
      <c r="I71" s="8"/>
    </row>
    <row r="72" customFormat="false" ht="15" hidden="false" customHeight="false" outlineLevel="0" collapsed="false">
      <c r="A72" s="5" t="s">
        <v>706</v>
      </c>
      <c r="B72" s="5" t="s">
        <v>701</v>
      </c>
      <c r="C72" s="5" t="s">
        <v>707</v>
      </c>
      <c r="D72" s="5" t="s">
        <v>213</v>
      </c>
      <c r="E72" s="7" t="s">
        <v>491</v>
      </c>
      <c r="F72" s="5" t="s">
        <v>708</v>
      </c>
      <c r="G72" s="7" t="s">
        <v>105</v>
      </c>
      <c r="H72" s="8" t="s">
        <v>104</v>
      </c>
      <c r="I72" s="8"/>
    </row>
    <row r="73" customFormat="false" ht="15" hidden="false" customHeight="false" outlineLevel="0" collapsed="false">
      <c r="A73" s="5" t="s">
        <v>709</v>
      </c>
      <c r="B73" s="5" t="s">
        <v>701</v>
      </c>
      <c r="C73" s="5" t="s">
        <v>710</v>
      </c>
      <c r="D73" s="5" t="s">
        <v>464</v>
      </c>
      <c r="E73" s="7" t="s">
        <v>558</v>
      </c>
      <c r="F73" s="5" t="s">
        <v>539</v>
      </c>
      <c r="G73" s="7" t="s">
        <v>105</v>
      </c>
      <c r="H73" s="8" t="s">
        <v>104</v>
      </c>
      <c r="I73" s="8"/>
    </row>
    <row r="74" customFormat="false" ht="15" hidden="false" customHeight="false" outlineLevel="0" collapsed="false">
      <c r="A74" s="5" t="s">
        <v>711</v>
      </c>
      <c r="B74" s="5" t="s">
        <v>701</v>
      </c>
      <c r="C74" s="5" t="s">
        <v>712</v>
      </c>
      <c r="D74" s="5" t="s">
        <v>213</v>
      </c>
      <c r="E74" s="7" t="s">
        <v>41</v>
      </c>
      <c r="F74" s="5" t="s">
        <v>588</v>
      </c>
      <c r="G74" s="7" t="s">
        <v>110</v>
      </c>
      <c r="H74" s="8" t="s">
        <v>104</v>
      </c>
      <c r="I74" s="8"/>
    </row>
    <row r="75" customFormat="false" ht="15" hidden="false" customHeight="false" outlineLevel="0" collapsed="false">
      <c r="A75" s="5" t="s">
        <v>713</v>
      </c>
      <c r="B75" s="5" t="s">
        <v>701</v>
      </c>
      <c r="C75" s="5" t="s">
        <v>714</v>
      </c>
      <c r="D75" s="5" t="s">
        <v>448</v>
      </c>
      <c r="E75" s="7" t="s">
        <v>558</v>
      </c>
      <c r="F75" s="5" t="s">
        <v>715</v>
      </c>
      <c r="G75" s="7" t="s">
        <v>110</v>
      </c>
      <c r="H75" s="8" t="s">
        <v>104</v>
      </c>
      <c r="I75" s="8"/>
    </row>
    <row r="76" customFormat="false" ht="15" hidden="false" customHeight="false" outlineLevel="0" collapsed="false">
      <c r="A76" s="5" t="s">
        <v>716</v>
      </c>
      <c r="B76" s="5" t="s">
        <v>717</v>
      </c>
      <c r="C76" s="5" t="s">
        <v>718</v>
      </c>
      <c r="D76" s="5" t="s">
        <v>213</v>
      </c>
      <c r="E76" s="7" t="s">
        <v>491</v>
      </c>
      <c r="F76" s="5" t="s">
        <v>684</v>
      </c>
      <c r="G76" s="7" t="s">
        <v>110</v>
      </c>
      <c r="H76" s="8" t="s">
        <v>104</v>
      </c>
      <c r="I76" s="8"/>
    </row>
    <row r="77" customFormat="false" ht="15" hidden="false" customHeight="false" outlineLevel="0" collapsed="false">
      <c r="A77" s="5" t="s">
        <v>719</v>
      </c>
      <c r="B77" s="5" t="s">
        <v>717</v>
      </c>
      <c r="C77" s="5" t="s">
        <v>720</v>
      </c>
      <c r="D77" s="5" t="s">
        <v>464</v>
      </c>
      <c r="E77" s="7" t="s">
        <v>491</v>
      </c>
      <c r="F77" s="5" t="s">
        <v>601</v>
      </c>
      <c r="G77" s="7" t="s">
        <v>110</v>
      </c>
      <c r="H77" s="8" t="s">
        <v>104</v>
      </c>
      <c r="I77" s="8"/>
    </row>
    <row r="78" customFormat="false" ht="15" hidden="false" customHeight="false" outlineLevel="0" collapsed="false">
      <c r="A78" s="5" t="s">
        <v>721</v>
      </c>
      <c r="B78" s="5" t="s">
        <v>717</v>
      </c>
      <c r="C78" s="5" t="s">
        <v>722</v>
      </c>
      <c r="D78" s="5" t="s">
        <v>213</v>
      </c>
      <c r="E78" s="7" t="s">
        <v>491</v>
      </c>
      <c r="F78" s="5" t="s">
        <v>684</v>
      </c>
      <c r="G78" s="7" t="s">
        <v>110</v>
      </c>
      <c r="H78" s="8" t="s">
        <v>104</v>
      </c>
      <c r="I78" s="8"/>
    </row>
    <row r="79" customFormat="false" ht="15" hidden="false" customHeight="false" outlineLevel="0" collapsed="false">
      <c r="A79" s="5" t="s">
        <v>723</v>
      </c>
      <c r="B79" s="5" t="s">
        <v>717</v>
      </c>
      <c r="C79" s="5" t="s">
        <v>724</v>
      </c>
      <c r="D79" s="5" t="s">
        <v>213</v>
      </c>
      <c r="E79" s="7" t="s">
        <v>491</v>
      </c>
      <c r="F79" s="5" t="s">
        <v>684</v>
      </c>
      <c r="G79" s="7" t="s">
        <v>110</v>
      </c>
      <c r="H79" s="8" t="s">
        <v>104</v>
      </c>
      <c r="I79" s="8"/>
    </row>
    <row r="80" customFormat="false" ht="15" hidden="false" customHeight="false" outlineLevel="0" collapsed="false">
      <c r="A80" s="5" t="s">
        <v>725</v>
      </c>
      <c r="B80" s="5" t="s">
        <v>717</v>
      </c>
      <c r="C80" s="5" t="s">
        <v>726</v>
      </c>
      <c r="D80" s="5" t="s">
        <v>464</v>
      </c>
      <c r="E80" s="7" t="s">
        <v>558</v>
      </c>
      <c r="F80" s="5" t="s">
        <v>601</v>
      </c>
      <c r="G80" s="7" t="s">
        <v>110</v>
      </c>
      <c r="H80" s="8" t="s">
        <v>104</v>
      </c>
      <c r="I80" s="8"/>
    </row>
    <row r="81" customFormat="false" ht="15" hidden="false" customHeight="false" outlineLevel="0" collapsed="false">
      <c r="A81" s="5" t="s">
        <v>727</v>
      </c>
      <c r="B81" s="5" t="s">
        <v>717</v>
      </c>
      <c r="C81" s="5" t="s">
        <v>728</v>
      </c>
      <c r="D81" s="5" t="s">
        <v>213</v>
      </c>
      <c r="E81" s="7" t="s">
        <v>491</v>
      </c>
      <c r="F81" s="5" t="s">
        <v>729</v>
      </c>
      <c r="G81" s="7" t="s">
        <v>110</v>
      </c>
      <c r="H81" s="8" t="s">
        <v>104</v>
      </c>
      <c r="I81" s="8"/>
    </row>
    <row r="82" customFormat="false" ht="15" hidden="false" customHeight="false" outlineLevel="0" collapsed="false">
      <c r="A82" s="5" t="s">
        <v>730</v>
      </c>
      <c r="B82" s="5" t="s">
        <v>717</v>
      </c>
      <c r="C82" s="5" t="s">
        <v>731</v>
      </c>
      <c r="D82" s="5" t="s">
        <v>213</v>
      </c>
      <c r="E82" s="7" t="s">
        <v>491</v>
      </c>
      <c r="F82" s="5" t="s">
        <v>601</v>
      </c>
      <c r="G82" s="7" t="s">
        <v>110</v>
      </c>
      <c r="H82" s="8" t="s">
        <v>104</v>
      </c>
      <c r="I82" s="8"/>
    </row>
    <row r="83" customFormat="false" ht="15" hidden="false" customHeight="false" outlineLevel="0" collapsed="false">
      <c r="A83" s="5" t="s">
        <v>732</v>
      </c>
      <c r="B83" s="5" t="s">
        <v>733</v>
      </c>
      <c r="C83" s="5" t="s">
        <v>734</v>
      </c>
      <c r="D83" s="5" t="s">
        <v>213</v>
      </c>
      <c r="E83" s="7" t="s">
        <v>491</v>
      </c>
      <c r="F83" s="5" t="s">
        <v>735</v>
      </c>
      <c r="G83" s="7" t="s">
        <v>110</v>
      </c>
      <c r="H83" s="8" t="s">
        <v>104</v>
      </c>
      <c r="I83" s="8"/>
    </row>
    <row r="84" customFormat="false" ht="15" hidden="false" customHeight="false" outlineLevel="0" collapsed="false">
      <c r="A84" s="5" t="s">
        <v>736</v>
      </c>
      <c r="B84" s="5" t="s">
        <v>733</v>
      </c>
      <c r="C84" s="5" t="s">
        <v>737</v>
      </c>
      <c r="D84" s="5" t="s">
        <v>213</v>
      </c>
      <c r="E84" s="7" t="s">
        <v>491</v>
      </c>
      <c r="F84" s="5" t="s">
        <v>738</v>
      </c>
      <c r="G84" s="7" t="s">
        <v>110</v>
      </c>
      <c r="H84" s="8" t="s">
        <v>104</v>
      </c>
      <c r="I84" s="8"/>
    </row>
    <row r="85" customFormat="false" ht="15" hidden="false" customHeight="false" outlineLevel="0" collapsed="false">
      <c r="A85" s="5" t="s">
        <v>739</v>
      </c>
      <c r="B85" s="5" t="s">
        <v>733</v>
      </c>
      <c r="C85" s="5" t="s">
        <v>740</v>
      </c>
      <c r="D85" s="5" t="s">
        <v>213</v>
      </c>
      <c r="E85" s="7" t="s">
        <v>491</v>
      </c>
      <c r="F85" s="5" t="s">
        <v>741</v>
      </c>
      <c r="G85" s="7" t="s">
        <v>110</v>
      </c>
      <c r="H85" s="8" t="s">
        <v>104</v>
      </c>
      <c r="I85" s="8"/>
    </row>
    <row r="86" customFormat="false" ht="15" hidden="false" customHeight="false" outlineLevel="0" collapsed="false">
      <c r="A86" s="5" t="s">
        <v>742</v>
      </c>
      <c r="B86" s="5" t="s">
        <v>733</v>
      </c>
      <c r="C86" s="5" t="s">
        <v>743</v>
      </c>
      <c r="D86" s="5" t="s">
        <v>213</v>
      </c>
      <c r="E86" s="7" t="s">
        <v>491</v>
      </c>
      <c r="F86" s="5" t="s">
        <v>684</v>
      </c>
      <c r="G86" s="7" t="s">
        <v>110</v>
      </c>
      <c r="H86" s="8" t="s">
        <v>104</v>
      </c>
      <c r="I86" s="8"/>
    </row>
    <row r="87" customFormat="false" ht="15" hidden="false" customHeight="false" outlineLevel="0" collapsed="false">
      <c r="A87" s="5" t="s">
        <v>744</v>
      </c>
      <c r="B87" s="5" t="s">
        <v>745</v>
      </c>
      <c r="C87" s="5" t="s">
        <v>746</v>
      </c>
      <c r="D87" s="5" t="s">
        <v>213</v>
      </c>
      <c r="E87" s="7" t="s">
        <v>491</v>
      </c>
      <c r="F87" s="5" t="s">
        <v>601</v>
      </c>
      <c r="G87" s="7" t="s">
        <v>110</v>
      </c>
      <c r="H87" s="8" t="s">
        <v>104</v>
      </c>
      <c r="I87" s="8"/>
    </row>
    <row r="88" customFormat="false" ht="15" hidden="false" customHeight="false" outlineLevel="0" collapsed="false">
      <c r="A88" s="5" t="s">
        <v>747</v>
      </c>
      <c r="B88" s="5" t="s">
        <v>745</v>
      </c>
      <c r="C88" s="5" t="s">
        <v>748</v>
      </c>
      <c r="D88" s="5" t="s">
        <v>213</v>
      </c>
      <c r="E88" s="7" t="s">
        <v>491</v>
      </c>
      <c r="F88" s="5" t="s">
        <v>749</v>
      </c>
      <c r="G88" s="7" t="s">
        <v>110</v>
      </c>
      <c r="H88" s="8" t="s">
        <v>104</v>
      </c>
      <c r="I88" s="8"/>
    </row>
    <row r="89" customFormat="false" ht="15" hidden="false" customHeight="false" outlineLevel="0" collapsed="false">
      <c r="A89" s="5" t="s">
        <v>750</v>
      </c>
      <c r="B89" s="5" t="s">
        <v>745</v>
      </c>
      <c r="C89" s="5" t="s">
        <v>751</v>
      </c>
      <c r="D89" s="5" t="s">
        <v>213</v>
      </c>
      <c r="E89" s="7" t="s">
        <v>491</v>
      </c>
      <c r="F89" s="5" t="s">
        <v>752</v>
      </c>
      <c r="G89" s="7" t="s">
        <v>110</v>
      </c>
      <c r="H89" s="8" t="s">
        <v>104</v>
      </c>
      <c r="I89" s="8"/>
    </row>
    <row r="90" customFormat="false" ht="15" hidden="false" customHeight="false" outlineLevel="0" collapsed="false">
      <c r="A90" s="5" t="s">
        <v>753</v>
      </c>
      <c r="B90" s="5" t="s">
        <v>745</v>
      </c>
      <c r="C90" s="5" t="s">
        <v>754</v>
      </c>
      <c r="D90" s="5" t="s">
        <v>213</v>
      </c>
      <c r="E90" s="7" t="s">
        <v>558</v>
      </c>
      <c r="F90" s="5" t="s">
        <v>755</v>
      </c>
      <c r="G90" s="7" t="s">
        <v>110</v>
      </c>
      <c r="H90" s="8" t="s">
        <v>104</v>
      </c>
      <c r="I90" s="8"/>
    </row>
    <row r="91" customFormat="false" ht="15" hidden="false" customHeight="false" outlineLevel="0" collapsed="false">
      <c r="A91" s="5" t="s">
        <v>756</v>
      </c>
      <c r="B91" s="5" t="s">
        <v>745</v>
      </c>
      <c r="C91" s="5" t="s">
        <v>757</v>
      </c>
      <c r="D91" s="5" t="s">
        <v>213</v>
      </c>
      <c r="E91" s="7" t="s">
        <v>558</v>
      </c>
      <c r="F91" s="5" t="s">
        <v>758</v>
      </c>
      <c r="G91" s="7" t="s">
        <v>110</v>
      </c>
      <c r="H91" s="8" t="s">
        <v>104</v>
      </c>
      <c r="I91" s="8"/>
    </row>
    <row r="92" customFormat="false" ht="15" hidden="false" customHeight="false" outlineLevel="0" collapsed="false">
      <c r="A92" s="5" t="s">
        <v>759</v>
      </c>
      <c r="B92" s="5" t="s">
        <v>760</v>
      </c>
      <c r="C92" s="5" t="s">
        <v>761</v>
      </c>
      <c r="D92" s="5" t="s">
        <v>213</v>
      </c>
      <c r="E92" s="7" t="s">
        <v>491</v>
      </c>
      <c r="F92" s="5" t="s">
        <v>601</v>
      </c>
      <c r="G92" s="7" t="s">
        <v>105</v>
      </c>
      <c r="H92" s="8" t="s">
        <v>104</v>
      </c>
      <c r="I92" s="8"/>
    </row>
    <row r="93" customFormat="false" ht="15" hidden="false" customHeight="false" outlineLevel="0" collapsed="false">
      <c r="A93" s="5" t="s">
        <v>762</v>
      </c>
      <c r="B93" s="5" t="s">
        <v>760</v>
      </c>
      <c r="C93" s="5" t="s">
        <v>763</v>
      </c>
      <c r="D93" s="5" t="s">
        <v>213</v>
      </c>
      <c r="E93" s="7" t="s">
        <v>491</v>
      </c>
      <c r="F93" s="5" t="s">
        <v>684</v>
      </c>
      <c r="G93" s="7" t="s">
        <v>110</v>
      </c>
      <c r="H93" s="8" t="s">
        <v>104</v>
      </c>
      <c r="I93" s="8"/>
    </row>
    <row r="94" customFormat="false" ht="15" hidden="false" customHeight="false" outlineLevel="0" collapsed="false">
      <c r="A94" s="5" t="s">
        <v>764</v>
      </c>
      <c r="B94" s="5" t="s">
        <v>760</v>
      </c>
      <c r="C94" s="5" t="s">
        <v>765</v>
      </c>
      <c r="D94" s="5" t="s">
        <v>213</v>
      </c>
      <c r="E94" s="7" t="s">
        <v>491</v>
      </c>
      <c r="F94" s="5" t="s">
        <v>601</v>
      </c>
      <c r="G94" s="7" t="s">
        <v>105</v>
      </c>
      <c r="H94" s="8" t="s">
        <v>104</v>
      </c>
      <c r="I94" s="8"/>
    </row>
    <row r="95" customFormat="false" ht="15" hidden="false" customHeight="false" outlineLevel="0" collapsed="false">
      <c r="A95" s="5" t="s">
        <v>766</v>
      </c>
      <c r="B95" s="5" t="s">
        <v>760</v>
      </c>
      <c r="C95" s="5" t="s">
        <v>767</v>
      </c>
      <c r="D95" s="5" t="s">
        <v>213</v>
      </c>
      <c r="E95" s="7" t="s">
        <v>491</v>
      </c>
      <c r="F95" s="5" t="s">
        <v>768</v>
      </c>
      <c r="G95" s="7" t="s">
        <v>110</v>
      </c>
      <c r="H95" s="8" t="s">
        <v>104</v>
      </c>
      <c r="I95" s="8"/>
    </row>
    <row r="96" customFormat="false" ht="15" hidden="false" customHeight="false" outlineLevel="0" collapsed="false">
      <c r="A96" s="5" t="s">
        <v>769</v>
      </c>
      <c r="B96" s="5" t="s">
        <v>760</v>
      </c>
      <c r="C96" s="5" t="s">
        <v>770</v>
      </c>
      <c r="D96" s="5" t="s">
        <v>213</v>
      </c>
      <c r="E96" s="7" t="s">
        <v>491</v>
      </c>
      <c r="F96" s="5" t="s">
        <v>771</v>
      </c>
      <c r="G96" s="7" t="s">
        <v>110</v>
      </c>
      <c r="H96" s="8" t="s">
        <v>104</v>
      </c>
      <c r="I96" s="8"/>
    </row>
    <row r="97" customFormat="false" ht="15" hidden="false" customHeight="false" outlineLevel="0" collapsed="false">
      <c r="A97" s="5" t="s">
        <v>772</v>
      </c>
      <c r="B97" s="5" t="s">
        <v>773</v>
      </c>
      <c r="C97" s="5" t="s">
        <v>774</v>
      </c>
      <c r="D97" s="5" t="s">
        <v>213</v>
      </c>
      <c r="E97" s="7" t="s">
        <v>491</v>
      </c>
      <c r="F97" s="5" t="s">
        <v>775</v>
      </c>
      <c r="G97" s="7" t="s">
        <v>105</v>
      </c>
      <c r="H97" s="8" t="s">
        <v>104</v>
      </c>
      <c r="I97" s="8"/>
    </row>
    <row r="98" customFormat="false" ht="15" hidden="false" customHeight="false" outlineLevel="0" collapsed="false">
      <c r="A98" s="5" t="s">
        <v>776</v>
      </c>
      <c r="B98" s="5" t="s">
        <v>773</v>
      </c>
      <c r="C98" s="5" t="s">
        <v>777</v>
      </c>
      <c r="D98" s="5" t="s">
        <v>213</v>
      </c>
      <c r="E98" s="7" t="s">
        <v>491</v>
      </c>
      <c r="F98" s="5" t="s">
        <v>778</v>
      </c>
      <c r="G98" s="7" t="s">
        <v>105</v>
      </c>
      <c r="H98" s="8" t="s">
        <v>104</v>
      </c>
      <c r="I98" s="8"/>
    </row>
    <row r="99" customFormat="false" ht="15" hidden="false" customHeight="false" outlineLevel="0" collapsed="false">
      <c r="A99" s="5" t="s">
        <v>779</v>
      </c>
      <c r="B99" s="5" t="s">
        <v>773</v>
      </c>
      <c r="C99" s="5" t="s">
        <v>780</v>
      </c>
      <c r="D99" s="5" t="s">
        <v>213</v>
      </c>
      <c r="E99" s="7" t="s">
        <v>491</v>
      </c>
      <c r="F99" s="5" t="s">
        <v>781</v>
      </c>
      <c r="G99" s="7" t="s">
        <v>110</v>
      </c>
      <c r="H99" s="8" t="s">
        <v>104</v>
      </c>
      <c r="I99" s="8"/>
    </row>
    <row r="100" customFormat="false" ht="15" hidden="false" customHeight="false" outlineLevel="0" collapsed="false">
      <c r="A100" s="5" t="s">
        <v>782</v>
      </c>
      <c r="B100" s="5" t="s">
        <v>773</v>
      </c>
      <c r="C100" s="5" t="s">
        <v>783</v>
      </c>
      <c r="D100" s="5" t="s">
        <v>213</v>
      </c>
      <c r="E100" s="7" t="s">
        <v>491</v>
      </c>
      <c r="F100" s="5" t="s">
        <v>784</v>
      </c>
      <c r="G100" s="7" t="s">
        <v>105</v>
      </c>
      <c r="H100" s="8" t="s">
        <v>104</v>
      </c>
      <c r="I100" s="8"/>
    </row>
    <row r="101" customFormat="false" ht="15" hidden="false" customHeight="false" outlineLevel="0" collapsed="false">
      <c r="A101" s="5" t="s">
        <v>785</v>
      </c>
      <c r="B101" s="5" t="s">
        <v>786</v>
      </c>
      <c r="C101" s="5" t="s">
        <v>787</v>
      </c>
      <c r="D101" s="5" t="s">
        <v>788</v>
      </c>
      <c r="E101" s="7" t="s">
        <v>491</v>
      </c>
      <c r="F101" s="5" t="s">
        <v>789</v>
      </c>
      <c r="G101" s="7" t="s">
        <v>105</v>
      </c>
      <c r="H101" s="8" t="s">
        <v>104</v>
      </c>
      <c r="I101" s="8"/>
    </row>
    <row r="102" customFormat="false" ht="15" hidden="false" customHeight="false" outlineLevel="0" collapsed="false">
      <c r="A102" s="5" t="s">
        <v>790</v>
      </c>
      <c r="B102" s="5" t="s">
        <v>786</v>
      </c>
      <c r="C102" s="5" t="s">
        <v>791</v>
      </c>
      <c r="D102" s="5" t="s">
        <v>213</v>
      </c>
      <c r="E102" s="7" t="s">
        <v>491</v>
      </c>
      <c r="F102" s="5" t="s">
        <v>792</v>
      </c>
      <c r="G102" s="7" t="s">
        <v>110</v>
      </c>
      <c r="H102" s="8" t="s">
        <v>104</v>
      </c>
      <c r="I102" s="8"/>
    </row>
    <row r="103" customFormat="false" ht="15" hidden="false" customHeight="false" outlineLevel="0" collapsed="false">
      <c r="A103" s="5" t="s">
        <v>793</v>
      </c>
      <c r="B103" s="5" t="s">
        <v>786</v>
      </c>
      <c r="C103" s="5" t="s">
        <v>794</v>
      </c>
      <c r="D103" s="5" t="s">
        <v>570</v>
      </c>
      <c r="E103" s="7" t="s">
        <v>491</v>
      </c>
      <c r="F103" s="5" t="s">
        <v>795</v>
      </c>
      <c r="G103" s="7" t="s">
        <v>105</v>
      </c>
      <c r="H103" s="8" t="s">
        <v>104</v>
      </c>
      <c r="I103" s="8"/>
    </row>
    <row r="104" customFormat="false" ht="15" hidden="false" customHeight="false" outlineLevel="0" collapsed="false">
      <c r="A104" s="5" t="s">
        <v>796</v>
      </c>
      <c r="B104" s="5" t="s">
        <v>786</v>
      </c>
      <c r="C104" s="5" t="s">
        <v>797</v>
      </c>
      <c r="D104" s="5" t="s">
        <v>213</v>
      </c>
      <c r="E104" s="7" t="s">
        <v>491</v>
      </c>
      <c r="F104" s="5" t="s">
        <v>798</v>
      </c>
      <c r="G104" s="7" t="s">
        <v>105</v>
      </c>
      <c r="H104" s="8" t="s">
        <v>104</v>
      </c>
      <c r="I104" s="8"/>
    </row>
    <row r="105" customFormat="false" ht="15" hidden="false" customHeight="false" outlineLevel="0" collapsed="false">
      <c r="A105" s="5" t="s">
        <v>799</v>
      </c>
      <c r="B105" s="5" t="s">
        <v>786</v>
      </c>
      <c r="C105" s="5" t="s">
        <v>800</v>
      </c>
      <c r="D105" s="5" t="s">
        <v>801</v>
      </c>
      <c r="E105" s="7" t="s">
        <v>558</v>
      </c>
      <c r="F105" s="5" t="s">
        <v>802</v>
      </c>
      <c r="G105" s="7" t="s">
        <v>110</v>
      </c>
      <c r="H105" s="8" t="s">
        <v>104</v>
      </c>
      <c r="I105" s="8"/>
    </row>
    <row r="106" customFormat="false" ht="15" hidden="false" customHeight="false" outlineLevel="0" collapsed="false">
      <c r="A106" s="5" t="s">
        <v>803</v>
      </c>
      <c r="B106" s="5" t="s">
        <v>804</v>
      </c>
      <c r="C106" s="5" t="s">
        <v>805</v>
      </c>
      <c r="D106" s="5" t="s">
        <v>213</v>
      </c>
      <c r="E106" s="7" t="s">
        <v>491</v>
      </c>
      <c r="F106" s="5" t="s">
        <v>806</v>
      </c>
      <c r="G106" s="7" t="s">
        <v>110</v>
      </c>
      <c r="H106" s="8" t="s">
        <v>104</v>
      </c>
      <c r="I106" s="8"/>
    </row>
    <row r="107" customFormat="false" ht="15" hidden="false" customHeight="false" outlineLevel="0" collapsed="false">
      <c r="A107" s="5" t="s">
        <v>807</v>
      </c>
      <c r="B107" s="5" t="s">
        <v>804</v>
      </c>
      <c r="C107" s="5" t="s">
        <v>808</v>
      </c>
      <c r="D107" s="5" t="s">
        <v>213</v>
      </c>
      <c r="E107" s="7" t="s">
        <v>491</v>
      </c>
      <c r="F107" s="5" t="s">
        <v>809</v>
      </c>
      <c r="G107" s="7" t="s">
        <v>110</v>
      </c>
      <c r="H107" s="8" t="s">
        <v>104</v>
      </c>
      <c r="I107" s="8"/>
    </row>
    <row r="108" customFormat="false" ht="15" hidden="false" customHeight="false" outlineLevel="0" collapsed="false">
      <c r="A108" s="5" t="s">
        <v>810</v>
      </c>
      <c r="B108" s="5" t="s">
        <v>804</v>
      </c>
      <c r="C108" s="5" t="s">
        <v>811</v>
      </c>
      <c r="D108" s="5" t="s">
        <v>213</v>
      </c>
      <c r="E108" s="7" t="s">
        <v>558</v>
      </c>
      <c r="F108" s="5" t="s">
        <v>601</v>
      </c>
      <c r="G108" s="7" t="s">
        <v>110</v>
      </c>
      <c r="H108" s="8" t="s">
        <v>104</v>
      </c>
      <c r="I108" s="8"/>
    </row>
    <row r="109" customFormat="false" ht="15" hidden="false" customHeight="false" outlineLevel="0" collapsed="false">
      <c r="A109" s="5" t="s">
        <v>812</v>
      </c>
      <c r="B109" s="5" t="s">
        <v>804</v>
      </c>
      <c r="C109" s="5" t="s">
        <v>813</v>
      </c>
      <c r="D109" s="5" t="s">
        <v>213</v>
      </c>
      <c r="E109" s="7" t="s">
        <v>491</v>
      </c>
      <c r="F109" s="5" t="s">
        <v>814</v>
      </c>
      <c r="G109" s="7" t="s">
        <v>110</v>
      </c>
      <c r="H109" s="8" t="s">
        <v>104</v>
      </c>
      <c r="I109" s="8"/>
    </row>
    <row r="110" customFormat="false" ht="15" hidden="false" customHeight="false" outlineLevel="0" collapsed="false">
      <c r="A110" s="5" t="s">
        <v>815</v>
      </c>
      <c r="B110" s="5" t="s">
        <v>804</v>
      </c>
      <c r="C110" s="5" t="s">
        <v>816</v>
      </c>
      <c r="D110" s="5" t="s">
        <v>213</v>
      </c>
      <c r="E110" s="7" t="s">
        <v>491</v>
      </c>
      <c r="F110" s="5" t="s">
        <v>817</v>
      </c>
      <c r="G110" s="7" t="s">
        <v>110</v>
      </c>
      <c r="H110" s="8" t="s">
        <v>104</v>
      </c>
      <c r="I110" s="8"/>
    </row>
    <row r="111" customFormat="false" ht="15" hidden="false" customHeight="false" outlineLevel="0" collapsed="false">
      <c r="A111" s="5" t="s">
        <v>818</v>
      </c>
      <c r="B111" s="5" t="s">
        <v>819</v>
      </c>
      <c r="C111" s="5" t="s">
        <v>820</v>
      </c>
      <c r="D111" s="5" t="s">
        <v>213</v>
      </c>
      <c r="E111" s="7" t="s">
        <v>491</v>
      </c>
      <c r="F111" s="5" t="s">
        <v>821</v>
      </c>
      <c r="G111" s="7" t="s">
        <v>105</v>
      </c>
      <c r="H111" s="8" t="s">
        <v>104</v>
      </c>
      <c r="I111" s="8"/>
    </row>
    <row r="112" customFormat="false" ht="15" hidden="false" customHeight="false" outlineLevel="0" collapsed="false">
      <c r="A112" s="5" t="s">
        <v>822</v>
      </c>
      <c r="B112" s="5" t="s">
        <v>819</v>
      </c>
      <c r="C112" s="5" t="s">
        <v>823</v>
      </c>
      <c r="D112" s="5" t="s">
        <v>213</v>
      </c>
      <c r="E112" s="7" t="s">
        <v>491</v>
      </c>
      <c r="F112" s="5" t="s">
        <v>824</v>
      </c>
      <c r="G112" s="7" t="s">
        <v>110</v>
      </c>
      <c r="H112" s="8" t="s">
        <v>104</v>
      </c>
      <c r="I112" s="8"/>
    </row>
    <row r="113" customFormat="false" ht="15" hidden="false" customHeight="false" outlineLevel="0" collapsed="false">
      <c r="A113" s="5" t="s">
        <v>825</v>
      </c>
      <c r="B113" s="5" t="s">
        <v>819</v>
      </c>
      <c r="C113" s="5" t="s">
        <v>826</v>
      </c>
      <c r="D113" s="5" t="s">
        <v>213</v>
      </c>
      <c r="E113" s="7" t="s">
        <v>491</v>
      </c>
      <c r="F113" s="5" t="s">
        <v>827</v>
      </c>
      <c r="G113" s="7" t="s">
        <v>110</v>
      </c>
      <c r="H113" s="8" t="s">
        <v>104</v>
      </c>
      <c r="I113" s="8"/>
    </row>
    <row r="114" customFormat="false" ht="23.85" hidden="false" customHeight="false" outlineLevel="0" collapsed="false">
      <c r="A114" s="5" t="s">
        <v>828</v>
      </c>
      <c r="B114" s="5" t="s">
        <v>819</v>
      </c>
      <c r="C114" s="5" t="s">
        <v>829</v>
      </c>
      <c r="D114" s="5" t="s">
        <v>213</v>
      </c>
      <c r="E114" s="7" t="s">
        <v>491</v>
      </c>
      <c r="F114" s="5" t="s">
        <v>830</v>
      </c>
      <c r="G114" s="7" t="s">
        <v>110</v>
      </c>
      <c r="H114" s="8" t="s">
        <v>104</v>
      </c>
      <c r="I114" s="8"/>
    </row>
    <row r="115" customFormat="false" ht="15" hidden="false" customHeight="false" outlineLevel="0" collapsed="false">
      <c r="A115" s="5" t="s">
        <v>831</v>
      </c>
      <c r="B115" s="5" t="s">
        <v>832</v>
      </c>
      <c r="C115" s="5" t="s">
        <v>833</v>
      </c>
      <c r="D115" s="5" t="s">
        <v>213</v>
      </c>
      <c r="E115" s="7" t="s">
        <v>491</v>
      </c>
      <c r="F115" s="5" t="s">
        <v>834</v>
      </c>
      <c r="G115" s="7" t="s">
        <v>110</v>
      </c>
      <c r="H115" s="8" t="s">
        <v>104</v>
      </c>
      <c r="I115" s="8"/>
    </row>
    <row r="116" customFormat="false" ht="15" hidden="false" customHeight="false" outlineLevel="0" collapsed="false">
      <c r="A116" s="5" t="s">
        <v>835</v>
      </c>
      <c r="B116" s="5" t="s">
        <v>832</v>
      </c>
      <c r="C116" s="5" t="s">
        <v>836</v>
      </c>
      <c r="D116" s="5" t="s">
        <v>213</v>
      </c>
      <c r="E116" s="7" t="s">
        <v>491</v>
      </c>
      <c r="F116" s="5" t="s">
        <v>837</v>
      </c>
      <c r="G116" s="7" t="s">
        <v>105</v>
      </c>
      <c r="H116" s="8" t="s">
        <v>104</v>
      </c>
      <c r="I116" s="8"/>
    </row>
    <row r="117" customFormat="false" ht="15" hidden="false" customHeight="false" outlineLevel="0" collapsed="false">
      <c r="A117" s="5" t="s">
        <v>838</v>
      </c>
      <c r="B117" s="5" t="s">
        <v>832</v>
      </c>
      <c r="C117" s="5" t="s">
        <v>839</v>
      </c>
      <c r="D117" s="5" t="s">
        <v>213</v>
      </c>
      <c r="E117" s="7" t="s">
        <v>491</v>
      </c>
      <c r="F117" s="5" t="s">
        <v>840</v>
      </c>
      <c r="G117" s="7" t="s">
        <v>110</v>
      </c>
      <c r="H117" s="8" t="s">
        <v>104</v>
      </c>
      <c r="I117" s="8"/>
    </row>
    <row r="118" customFormat="false" ht="15" hidden="false" customHeight="false" outlineLevel="0" collapsed="false">
      <c r="A118" s="5" t="s">
        <v>841</v>
      </c>
      <c r="B118" s="5" t="s">
        <v>832</v>
      </c>
      <c r="C118" s="5" t="s">
        <v>842</v>
      </c>
      <c r="D118" s="5" t="s">
        <v>213</v>
      </c>
      <c r="E118" s="7" t="s">
        <v>558</v>
      </c>
      <c r="F118" s="5" t="s">
        <v>843</v>
      </c>
      <c r="G118" s="7" t="s">
        <v>110</v>
      </c>
      <c r="H118" s="8" t="s">
        <v>104</v>
      </c>
      <c r="I118" s="8"/>
    </row>
    <row r="119" customFormat="false" ht="23.85" hidden="false" customHeight="false" outlineLevel="0" collapsed="false">
      <c r="A119" s="5" t="s">
        <v>844</v>
      </c>
      <c r="B119" s="5" t="s">
        <v>845</v>
      </c>
      <c r="C119" s="5" t="s">
        <v>846</v>
      </c>
      <c r="D119" s="5" t="s">
        <v>213</v>
      </c>
      <c r="E119" s="7" t="s">
        <v>491</v>
      </c>
      <c r="F119" s="5" t="s">
        <v>847</v>
      </c>
      <c r="G119" s="7" t="s">
        <v>105</v>
      </c>
      <c r="H119" s="8" t="s">
        <v>104</v>
      </c>
      <c r="I119" s="8"/>
    </row>
    <row r="120" customFormat="false" ht="23.85" hidden="false" customHeight="false" outlineLevel="0" collapsed="false">
      <c r="A120" s="5" t="s">
        <v>848</v>
      </c>
      <c r="B120" s="5" t="s">
        <v>845</v>
      </c>
      <c r="C120" s="5" t="s">
        <v>849</v>
      </c>
      <c r="D120" s="5" t="s">
        <v>213</v>
      </c>
      <c r="E120" s="7" t="s">
        <v>491</v>
      </c>
      <c r="F120" s="5" t="s">
        <v>850</v>
      </c>
      <c r="G120" s="7" t="s">
        <v>105</v>
      </c>
      <c r="H120" s="8" t="s">
        <v>104</v>
      </c>
      <c r="I120" s="8"/>
    </row>
    <row r="121" customFormat="false" ht="23.85" hidden="false" customHeight="false" outlineLevel="0" collapsed="false">
      <c r="A121" s="5" t="s">
        <v>851</v>
      </c>
      <c r="B121" s="5" t="s">
        <v>845</v>
      </c>
      <c r="C121" s="5" t="s">
        <v>852</v>
      </c>
      <c r="D121" s="5" t="s">
        <v>213</v>
      </c>
      <c r="E121" s="7" t="s">
        <v>491</v>
      </c>
      <c r="F121" s="5" t="s">
        <v>853</v>
      </c>
      <c r="G121" s="7" t="s">
        <v>105</v>
      </c>
      <c r="H121" s="8" t="s">
        <v>104</v>
      </c>
      <c r="I121" s="8"/>
    </row>
    <row r="122" customFormat="false" ht="15" hidden="false" customHeight="false" outlineLevel="0" collapsed="false">
      <c r="A122" s="5" t="s">
        <v>854</v>
      </c>
      <c r="B122" s="5" t="s">
        <v>855</v>
      </c>
      <c r="C122" s="5" t="s">
        <v>856</v>
      </c>
      <c r="D122" s="5" t="s">
        <v>213</v>
      </c>
      <c r="E122" s="7" t="s">
        <v>491</v>
      </c>
      <c r="F122" s="5" t="s">
        <v>857</v>
      </c>
      <c r="G122" s="7" t="s">
        <v>105</v>
      </c>
      <c r="H122" s="8" t="s">
        <v>104</v>
      </c>
      <c r="I122" s="8"/>
    </row>
    <row r="123" customFormat="false" ht="23.85" hidden="false" customHeight="false" outlineLevel="0" collapsed="false">
      <c r="A123" s="5" t="s">
        <v>858</v>
      </c>
      <c r="B123" s="5" t="s">
        <v>859</v>
      </c>
      <c r="C123" s="5" t="s">
        <v>860</v>
      </c>
      <c r="D123" s="5" t="s">
        <v>213</v>
      </c>
      <c r="E123" s="7" t="s">
        <v>558</v>
      </c>
      <c r="F123" s="5" t="s">
        <v>861</v>
      </c>
      <c r="G123" s="7" t="s">
        <v>110</v>
      </c>
      <c r="H123" s="8" t="s">
        <v>104</v>
      </c>
      <c r="I123" s="8"/>
    </row>
    <row r="124" customFormat="false" ht="15" hidden="false" customHeight="false" outlineLevel="0" collapsed="false">
      <c r="A124" s="5" t="s">
        <v>862</v>
      </c>
      <c r="B124" s="5" t="s">
        <v>863</v>
      </c>
      <c r="C124" s="5" t="s">
        <v>864</v>
      </c>
      <c r="D124" s="5" t="s">
        <v>213</v>
      </c>
      <c r="E124" s="7" t="s">
        <v>491</v>
      </c>
      <c r="F124" s="5" t="s">
        <v>865</v>
      </c>
      <c r="G124" s="7" t="s">
        <v>105</v>
      </c>
      <c r="H124" s="8" t="s">
        <v>104</v>
      </c>
      <c r="I124" s="8"/>
    </row>
    <row r="125" customFormat="false" ht="15" hidden="false" customHeight="false" outlineLevel="0" collapsed="false">
      <c r="A125" s="5" t="s">
        <v>866</v>
      </c>
      <c r="B125" s="5" t="s">
        <v>867</v>
      </c>
      <c r="C125" s="5" t="s">
        <v>868</v>
      </c>
      <c r="D125" s="5" t="s">
        <v>213</v>
      </c>
      <c r="E125" s="7" t="s">
        <v>491</v>
      </c>
      <c r="F125" s="5" t="s">
        <v>869</v>
      </c>
      <c r="G125" s="7" t="s">
        <v>110</v>
      </c>
      <c r="H125" s="8" t="s">
        <v>104</v>
      </c>
      <c r="I125" s="8"/>
    </row>
    <row r="126" customFormat="false" ht="15" hidden="false" customHeight="false" outlineLevel="0" collapsed="false">
      <c r="A126" s="5" t="s">
        <v>870</v>
      </c>
      <c r="B126" s="5" t="s">
        <v>871</v>
      </c>
      <c r="C126" s="5" t="s">
        <v>872</v>
      </c>
      <c r="D126" s="5" t="s">
        <v>213</v>
      </c>
      <c r="E126" s="7" t="s">
        <v>491</v>
      </c>
      <c r="F126" s="5" t="s">
        <v>873</v>
      </c>
      <c r="G126" s="7" t="s">
        <v>110</v>
      </c>
      <c r="H126" s="8" t="s">
        <v>104</v>
      </c>
      <c r="I126" s="8"/>
    </row>
    <row r="127" customFormat="false" ht="15" hidden="false" customHeight="false" outlineLevel="0" collapsed="false">
      <c r="A127" s="5" t="s">
        <v>874</v>
      </c>
      <c r="B127" s="5" t="s">
        <v>875</v>
      </c>
      <c r="C127" s="5" t="s">
        <v>876</v>
      </c>
      <c r="D127" s="5" t="s">
        <v>213</v>
      </c>
      <c r="E127" s="7" t="s">
        <v>491</v>
      </c>
      <c r="F127" s="5" t="s">
        <v>877</v>
      </c>
      <c r="G127" s="7" t="s">
        <v>110</v>
      </c>
      <c r="H127" s="8" t="s">
        <v>104</v>
      </c>
      <c r="I127" s="8"/>
    </row>
    <row r="128" customFormat="false" ht="23.85" hidden="false" customHeight="false" outlineLevel="0" collapsed="false">
      <c r="A128" s="5" t="s">
        <v>878</v>
      </c>
      <c r="B128" s="5" t="s">
        <v>879</v>
      </c>
      <c r="C128" s="5" t="s">
        <v>880</v>
      </c>
      <c r="D128" s="5" t="s">
        <v>213</v>
      </c>
      <c r="E128" s="7" t="s">
        <v>491</v>
      </c>
      <c r="F128" s="5" t="s">
        <v>881</v>
      </c>
      <c r="G128" s="7" t="s">
        <v>110</v>
      </c>
      <c r="H128" s="8" t="s">
        <v>104</v>
      </c>
      <c r="I128" s="8"/>
    </row>
    <row r="129" customFormat="false" ht="15" hidden="false" customHeight="false" outlineLevel="0" collapsed="false">
      <c r="A129" s="5" t="s">
        <v>882</v>
      </c>
      <c r="B129" s="5" t="s">
        <v>883</v>
      </c>
      <c r="C129" s="5" t="s">
        <v>884</v>
      </c>
      <c r="D129" s="5" t="s">
        <v>213</v>
      </c>
      <c r="E129" s="7" t="s">
        <v>491</v>
      </c>
      <c r="F129" s="5" t="s">
        <v>885</v>
      </c>
      <c r="G129" s="7" t="s">
        <v>110</v>
      </c>
      <c r="H129" s="8" t="s">
        <v>104</v>
      </c>
      <c r="I129" s="8"/>
    </row>
    <row r="130" customFormat="false" ht="15" hidden="false" customHeight="false" outlineLevel="0" collapsed="false">
      <c r="A130" s="5" t="s">
        <v>886</v>
      </c>
      <c r="B130" s="5" t="s">
        <v>887</v>
      </c>
      <c r="C130" s="5" t="s">
        <v>888</v>
      </c>
      <c r="D130" s="5" t="s">
        <v>213</v>
      </c>
      <c r="E130" s="7" t="s">
        <v>491</v>
      </c>
      <c r="F130" s="5" t="s">
        <v>889</v>
      </c>
      <c r="G130" s="7" t="s">
        <v>105</v>
      </c>
      <c r="H130" s="8" t="s">
        <v>104</v>
      </c>
      <c r="I130" s="8"/>
    </row>
    <row r="131" customFormat="false" ht="23.85" hidden="false" customHeight="false" outlineLevel="0" collapsed="false">
      <c r="A131" s="5" t="s">
        <v>890</v>
      </c>
      <c r="B131" s="5" t="s">
        <v>891</v>
      </c>
      <c r="C131" s="5" t="s">
        <v>892</v>
      </c>
      <c r="D131" s="5" t="s">
        <v>213</v>
      </c>
      <c r="E131" s="7" t="s">
        <v>491</v>
      </c>
      <c r="F131" s="5" t="s">
        <v>893</v>
      </c>
      <c r="G131" s="7" t="s">
        <v>110</v>
      </c>
      <c r="H131" s="8" t="s">
        <v>104</v>
      </c>
      <c r="I131" s="8"/>
    </row>
    <row r="132" customFormat="false" ht="23.85" hidden="false" customHeight="false" outlineLevel="0" collapsed="false">
      <c r="A132" s="5" t="s">
        <v>894</v>
      </c>
      <c r="B132" s="5" t="s">
        <v>895</v>
      </c>
      <c r="C132" s="5" t="s">
        <v>896</v>
      </c>
      <c r="D132" s="5" t="s">
        <v>213</v>
      </c>
      <c r="E132" s="7" t="s">
        <v>558</v>
      </c>
      <c r="F132" s="5" t="s">
        <v>897</v>
      </c>
      <c r="G132" s="7" t="s">
        <v>115</v>
      </c>
      <c r="H132" s="8" t="s">
        <v>104</v>
      </c>
      <c r="I132" s="8"/>
    </row>
    <row r="134" customFormat="false" ht="15" hidden="false" customHeight="false" outlineLevel="0" collapsed="false">
      <c r="A134" s="9" t="n">
        <f aca="false">COUNTA(A5:A132)</f>
        <v>128</v>
      </c>
      <c r="B134" s="9" t="s">
        <v>898</v>
      </c>
      <c r="C134" s="9" t="str">
        <f aca="false">COUNTIF(E5:E132,"M")&amp;" Must / "&amp;COUNTIF(E5:E132,"S")&amp;" Should / "&amp;COUNTIF(E5:E132,"C")&amp;" Could"</f>
        <v>108 Must / 17 Should / 3 Could</v>
      </c>
    </row>
  </sheetData>
  <dataValidations count="1">
    <dataValidation allowBlank="true" errorStyle="stop" operator="between" showDropDown="false" showErrorMessage="false" showInputMessage="false" sqref="H5:H132" type="list">
      <formula1>"Not started,In progress,Built,Verified,Écart,Waived"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22" min="3" style="0" width="7"/>
    <col collapsed="false" customWidth="true" hidden="false" outlineLevel="0" max="23" min="23" style="0" width="14"/>
    <col collapsed="false" customWidth="true" hidden="false" outlineLevel="0" max="24" min="24" style="0" width="22"/>
    <col collapsed="false" customWidth="true" hidden="false" outlineLevel="0" max="25" min="25" style="0" width="18"/>
  </cols>
  <sheetData>
    <row r="1" customFormat="false" ht="17.35" hidden="false" customHeight="false" outlineLevel="0" collapsed="false">
      <c r="A1" s="1" t="s">
        <v>899</v>
      </c>
    </row>
    <row r="2" customFormat="false" ht="15" hidden="false" customHeight="false" outlineLevel="0" collapsed="false">
      <c r="A2" s="2" t="s">
        <v>900</v>
      </c>
    </row>
    <row r="4" customFormat="false" ht="30" hidden="false" customHeight="true" outlineLevel="0" collapsed="false">
      <c r="A4" s="3" t="s">
        <v>901</v>
      </c>
      <c r="B4" s="3" t="s">
        <v>902</v>
      </c>
      <c r="C4" s="3" t="s">
        <v>903</v>
      </c>
      <c r="D4" s="3" t="s">
        <v>904</v>
      </c>
      <c r="E4" s="3" t="s">
        <v>905</v>
      </c>
      <c r="F4" s="3" t="s">
        <v>906</v>
      </c>
      <c r="G4" s="3" t="s">
        <v>907</v>
      </c>
      <c r="H4" s="3" t="s">
        <v>908</v>
      </c>
      <c r="I4" s="3" t="s">
        <v>909</v>
      </c>
      <c r="J4" s="3" t="s">
        <v>910</v>
      </c>
      <c r="K4" s="3" t="s">
        <v>911</v>
      </c>
      <c r="L4" s="3" t="s">
        <v>912</v>
      </c>
      <c r="M4" s="3" t="s">
        <v>913</v>
      </c>
      <c r="N4" s="3" t="s">
        <v>914</v>
      </c>
      <c r="O4" s="3" t="s">
        <v>915</v>
      </c>
      <c r="P4" s="3" t="s">
        <v>916</v>
      </c>
      <c r="Q4" s="3" t="s">
        <v>917</v>
      </c>
      <c r="R4" s="3" t="s">
        <v>918</v>
      </c>
      <c r="S4" s="3" t="s">
        <v>919</v>
      </c>
      <c r="T4" s="3" t="s">
        <v>920</v>
      </c>
      <c r="U4" s="3" t="s">
        <v>921</v>
      </c>
      <c r="V4" s="3" t="s">
        <v>922</v>
      </c>
      <c r="W4" s="3" t="s">
        <v>923</v>
      </c>
      <c r="X4" s="3" t="s">
        <v>87</v>
      </c>
      <c r="Y4" s="3" t="s">
        <v>924</v>
      </c>
    </row>
    <row r="5" customFormat="false" ht="15" hidden="false" customHeight="false" outlineLevel="0" collapsed="false">
      <c r="A5" s="9" t="s">
        <v>925</v>
      </c>
      <c r="B5" s="2" t="s">
        <v>926</v>
      </c>
      <c r="C5" s="14" t="n">
        <v>7</v>
      </c>
      <c r="D5" s="14" t="n">
        <v>7</v>
      </c>
      <c r="E5" s="14" t="n">
        <v>5</v>
      </c>
      <c r="F5" s="14" t="n">
        <v>6</v>
      </c>
      <c r="G5" s="14" t="n">
        <v>5</v>
      </c>
      <c r="H5" s="14" t="n">
        <v>5</v>
      </c>
      <c r="I5" s="14" t="n">
        <v>5</v>
      </c>
      <c r="J5" s="14" t="n">
        <v>4</v>
      </c>
      <c r="K5" s="14" t="n">
        <v>6</v>
      </c>
      <c r="L5" s="14" t="n">
        <v>5</v>
      </c>
      <c r="M5" s="14" t="n">
        <v>5</v>
      </c>
      <c r="N5" s="14" t="n">
        <v>5</v>
      </c>
      <c r="O5" s="14" t="n">
        <v>5</v>
      </c>
      <c r="P5" s="14" t="n">
        <v>3</v>
      </c>
      <c r="Q5" s="14" t="n">
        <v>3</v>
      </c>
      <c r="R5" s="14" t="n">
        <v>6</v>
      </c>
      <c r="S5" s="14" t="n">
        <v>5</v>
      </c>
      <c r="T5" s="14" t="n">
        <v>5</v>
      </c>
      <c r="U5" s="14" t="n">
        <v>4</v>
      </c>
      <c r="V5" s="14" t="n">
        <v>4</v>
      </c>
      <c r="W5" s="9" t="n">
        <f aca="false">SUM(C5:V5)</f>
        <v>100</v>
      </c>
    </row>
    <row r="6" customFormat="false" ht="15" hidden="false" customHeight="false" outlineLevel="0" collapsed="false">
      <c r="A6" s="15" t="s">
        <v>927</v>
      </c>
      <c r="B6" s="16" t="s">
        <v>928</v>
      </c>
      <c r="C6" s="17" t="n">
        <v>5</v>
      </c>
      <c r="D6" s="17" t="n">
        <v>5</v>
      </c>
      <c r="E6" s="17" t="n">
        <v>5</v>
      </c>
      <c r="F6" s="17" t="n">
        <v>5</v>
      </c>
      <c r="G6" s="17" t="n">
        <v>5</v>
      </c>
      <c r="H6" s="17" t="n">
        <v>5</v>
      </c>
      <c r="I6" s="17" t="n">
        <v>5</v>
      </c>
      <c r="J6" s="17" t="n">
        <v>5</v>
      </c>
      <c r="K6" s="17" t="n">
        <v>5</v>
      </c>
      <c r="L6" s="17" t="n">
        <v>5</v>
      </c>
      <c r="M6" s="17" t="n">
        <v>5</v>
      </c>
      <c r="N6" s="17" t="n">
        <v>5</v>
      </c>
      <c r="O6" s="17" t="n">
        <v>3</v>
      </c>
      <c r="P6" s="17" t="n">
        <v>3</v>
      </c>
      <c r="Q6" s="17" t="n">
        <v>4</v>
      </c>
      <c r="R6" s="17" t="n">
        <v>5</v>
      </c>
      <c r="S6" s="17" t="n">
        <v>5</v>
      </c>
      <c r="T6" s="17" t="n">
        <v>5</v>
      </c>
      <c r="U6" s="17" t="n">
        <v>5</v>
      </c>
      <c r="V6" s="17" t="n">
        <v>5</v>
      </c>
      <c r="W6" s="18" t="n">
        <f aca="false">SUMPRODUCT(C6:V6,$C$5:$V$5)/5</f>
        <v>96.2</v>
      </c>
      <c r="X6" s="19"/>
      <c r="Y6" s="19"/>
    </row>
    <row r="7" customFormat="false" ht="15" hidden="false" customHeight="false" outlineLevel="0" collapsed="false">
      <c r="A7" s="5" t="s">
        <v>929</v>
      </c>
      <c r="B7" s="5" t="s">
        <v>930</v>
      </c>
      <c r="C7" s="10" t="n">
        <v>4</v>
      </c>
      <c r="D7" s="10" t="n">
        <v>1</v>
      </c>
      <c r="E7" s="10" t="n">
        <v>1</v>
      </c>
      <c r="F7" s="10" t="n">
        <v>1</v>
      </c>
      <c r="G7" s="10" t="n">
        <v>4</v>
      </c>
      <c r="H7" s="10" t="n">
        <v>3</v>
      </c>
      <c r="I7" s="10" t="n">
        <v>4</v>
      </c>
      <c r="J7" s="10" t="n">
        <v>2</v>
      </c>
      <c r="K7" s="10" t="n">
        <v>2</v>
      </c>
      <c r="L7" s="10" t="n">
        <v>2</v>
      </c>
      <c r="M7" s="10" t="n">
        <v>5</v>
      </c>
      <c r="N7" s="10" t="n">
        <v>4</v>
      </c>
      <c r="O7" s="10" t="n">
        <v>5</v>
      </c>
      <c r="P7" s="10" t="n">
        <v>5</v>
      </c>
      <c r="Q7" s="10" t="n">
        <v>5</v>
      </c>
      <c r="R7" s="10" t="n">
        <v>1</v>
      </c>
      <c r="S7" s="10" t="n">
        <v>5</v>
      </c>
      <c r="T7" s="10" t="n">
        <v>3</v>
      </c>
      <c r="U7" s="10" t="n">
        <v>4</v>
      </c>
      <c r="V7" s="10" t="n">
        <v>2</v>
      </c>
      <c r="W7" s="20" t="n">
        <f aca="false">SUMPRODUCT(C7:V7,$C$5:$V$5)/5</f>
        <v>60.2</v>
      </c>
      <c r="X7" s="8"/>
      <c r="Y7" s="8"/>
    </row>
    <row r="8" customFormat="false" ht="15" hidden="false" customHeight="false" outlineLevel="0" collapsed="false">
      <c r="A8" s="5" t="s">
        <v>931</v>
      </c>
      <c r="B8" s="5" t="s">
        <v>932</v>
      </c>
      <c r="C8" s="10" t="n">
        <v>2</v>
      </c>
      <c r="D8" s="10" t="n">
        <v>1</v>
      </c>
      <c r="E8" s="10" t="n">
        <v>1</v>
      </c>
      <c r="F8" s="10" t="n">
        <v>1</v>
      </c>
      <c r="G8" s="10" t="n">
        <v>5</v>
      </c>
      <c r="H8" s="10" t="n">
        <v>4</v>
      </c>
      <c r="I8" s="10" t="n">
        <v>4</v>
      </c>
      <c r="J8" s="10" t="n">
        <v>4</v>
      </c>
      <c r="K8" s="10" t="n">
        <v>5</v>
      </c>
      <c r="L8" s="10" t="n">
        <v>4</v>
      </c>
      <c r="M8" s="10" t="n">
        <v>5</v>
      </c>
      <c r="N8" s="10" t="n">
        <v>4</v>
      </c>
      <c r="O8" s="10" t="n">
        <v>2</v>
      </c>
      <c r="P8" s="10" t="n">
        <v>1</v>
      </c>
      <c r="Q8" s="10" t="n">
        <v>1</v>
      </c>
      <c r="R8" s="10" t="n">
        <v>0</v>
      </c>
      <c r="S8" s="10" t="n">
        <v>5</v>
      </c>
      <c r="T8" s="10" t="n">
        <v>5</v>
      </c>
      <c r="U8" s="10" t="n">
        <v>5</v>
      </c>
      <c r="V8" s="10" t="n">
        <v>3</v>
      </c>
      <c r="W8" s="20" t="n">
        <f aca="false">SUMPRODUCT(C8:V8,$C$5:$V$5)/5</f>
        <v>61.2</v>
      </c>
      <c r="X8" s="8"/>
      <c r="Y8" s="8"/>
    </row>
    <row r="9" customFormat="false" ht="15" hidden="false" customHeight="false" outlineLevel="0" collapsed="false">
      <c r="A9" s="5" t="s">
        <v>933</v>
      </c>
      <c r="B9" s="5" t="s">
        <v>934</v>
      </c>
      <c r="C9" s="10" t="n">
        <v>5</v>
      </c>
      <c r="D9" s="10" t="n">
        <v>1</v>
      </c>
      <c r="E9" s="10" t="n">
        <v>1</v>
      </c>
      <c r="F9" s="10" t="n">
        <v>1</v>
      </c>
      <c r="G9" s="10" t="n">
        <v>2</v>
      </c>
      <c r="H9" s="10" t="n">
        <v>2</v>
      </c>
      <c r="I9" s="10" t="n">
        <v>2</v>
      </c>
      <c r="J9" s="10" t="n">
        <v>1</v>
      </c>
      <c r="K9" s="10" t="n">
        <v>3</v>
      </c>
      <c r="L9" s="10" t="n">
        <v>1</v>
      </c>
      <c r="M9" s="10" t="n">
        <v>5</v>
      </c>
      <c r="N9" s="10" t="n">
        <v>2</v>
      </c>
      <c r="O9" s="10" t="n">
        <v>5</v>
      </c>
      <c r="P9" s="10" t="n">
        <v>3</v>
      </c>
      <c r="Q9" s="10" t="n">
        <v>3</v>
      </c>
      <c r="R9" s="10" t="n">
        <v>2</v>
      </c>
      <c r="S9" s="10" t="n">
        <v>5</v>
      </c>
      <c r="T9" s="10" t="n">
        <v>4</v>
      </c>
      <c r="U9" s="10" t="n">
        <v>4</v>
      </c>
      <c r="V9" s="10" t="n">
        <v>2</v>
      </c>
      <c r="W9" s="20" t="n">
        <f aca="false">SUMPRODUCT(C9:V9,$C$5:$V$5)/5</f>
        <v>53.8</v>
      </c>
      <c r="X9" s="8"/>
      <c r="Y9" s="8"/>
    </row>
    <row r="10" customFormat="false" ht="15" hidden="false" customHeight="false" outlineLevel="0" collapsed="false">
      <c r="A10" s="5" t="s">
        <v>935</v>
      </c>
      <c r="B10" s="5" t="s">
        <v>936</v>
      </c>
      <c r="C10" s="10" t="n">
        <v>5</v>
      </c>
      <c r="D10" s="10" t="n">
        <v>3</v>
      </c>
      <c r="E10" s="10" t="n">
        <v>3</v>
      </c>
      <c r="F10" s="10" t="n">
        <v>4</v>
      </c>
      <c r="G10" s="10" t="n">
        <v>5</v>
      </c>
      <c r="H10" s="10" t="n">
        <v>5</v>
      </c>
      <c r="I10" s="10" t="n">
        <v>4</v>
      </c>
      <c r="J10" s="10" t="n">
        <v>4</v>
      </c>
      <c r="K10" s="10" t="n">
        <v>2</v>
      </c>
      <c r="L10" s="10" t="n">
        <v>3</v>
      </c>
      <c r="M10" s="10" t="n">
        <v>5</v>
      </c>
      <c r="N10" s="10" t="n">
        <v>4</v>
      </c>
      <c r="O10" s="10" t="n">
        <v>3</v>
      </c>
      <c r="P10" s="10" t="n">
        <v>2</v>
      </c>
      <c r="Q10" s="10" t="n">
        <v>2</v>
      </c>
      <c r="R10" s="10" t="n">
        <v>2</v>
      </c>
      <c r="S10" s="10" t="n">
        <v>5</v>
      </c>
      <c r="T10" s="10" t="n">
        <v>5</v>
      </c>
      <c r="U10" s="10" t="n">
        <v>4</v>
      </c>
      <c r="V10" s="10" t="n">
        <v>5</v>
      </c>
      <c r="W10" s="20" t="n">
        <f aca="false">SUMPRODUCT(C10:V10,$C$5:$V$5)/5</f>
        <v>75.6</v>
      </c>
      <c r="X10" s="8"/>
      <c r="Y10" s="8"/>
    </row>
    <row r="11" customFormat="false" ht="15" hidden="false" customHeight="false" outlineLevel="0" collapsed="false">
      <c r="A11" s="5" t="s">
        <v>937</v>
      </c>
      <c r="B11" s="5" t="s">
        <v>938</v>
      </c>
      <c r="C11" s="10" t="n">
        <v>4</v>
      </c>
      <c r="D11" s="10" t="n">
        <v>3</v>
      </c>
      <c r="E11" s="10" t="n">
        <v>2</v>
      </c>
      <c r="F11" s="10" t="n">
        <v>4</v>
      </c>
      <c r="G11" s="10" t="n">
        <v>4</v>
      </c>
      <c r="H11" s="10" t="n">
        <v>4</v>
      </c>
      <c r="I11" s="10" t="n">
        <v>3</v>
      </c>
      <c r="J11" s="10" t="n">
        <v>4</v>
      </c>
      <c r="K11" s="10" t="n">
        <v>2</v>
      </c>
      <c r="L11" s="10" t="n">
        <v>3</v>
      </c>
      <c r="M11" s="10" t="n">
        <v>2</v>
      </c>
      <c r="N11" s="10" t="n">
        <v>2</v>
      </c>
      <c r="O11" s="10" t="n">
        <v>4</v>
      </c>
      <c r="P11" s="10" t="n">
        <v>3</v>
      </c>
      <c r="Q11" s="10" t="n">
        <v>3</v>
      </c>
      <c r="R11" s="10" t="n">
        <v>3</v>
      </c>
      <c r="S11" s="10" t="n">
        <v>3</v>
      </c>
      <c r="T11" s="10" t="n">
        <v>4</v>
      </c>
      <c r="U11" s="10" t="n">
        <v>3</v>
      </c>
      <c r="V11" s="10" t="n">
        <v>4</v>
      </c>
      <c r="W11" s="20" t="n">
        <f aca="false">SUMPRODUCT(C11:V11,$C$5:$V$5)/5</f>
        <v>64</v>
      </c>
      <c r="X11" s="8"/>
      <c r="Y11" s="8"/>
    </row>
    <row r="12" customFormat="false" ht="15" hidden="false" customHeight="false" outlineLevel="0" collapsed="false">
      <c r="A12" s="5" t="s">
        <v>939</v>
      </c>
      <c r="B12" s="5" t="s">
        <v>938</v>
      </c>
      <c r="C12" s="10" t="n">
        <v>3</v>
      </c>
      <c r="D12" s="10" t="n">
        <v>3</v>
      </c>
      <c r="E12" s="10" t="n">
        <v>2</v>
      </c>
      <c r="F12" s="10" t="n">
        <v>3</v>
      </c>
      <c r="G12" s="10" t="n">
        <v>5</v>
      </c>
      <c r="H12" s="10" t="n">
        <v>5</v>
      </c>
      <c r="I12" s="10" t="n">
        <v>3</v>
      </c>
      <c r="J12" s="10" t="n">
        <v>5</v>
      </c>
      <c r="K12" s="10" t="n">
        <v>2</v>
      </c>
      <c r="L12" s="10" t="n">
        <v>3</v>
      </c>
      <c r="M12" s="10" t="n">
        <v>2</v>
      </c>
      <c r="N12" s="10" t="n">
        <v>2</v>
      </c>
      <c r="O12" s="10" t="n">
        <v>2</v>
      </c>
      <c r="P12" s="10" t="n">
        <v>1</v>
      </c>
      <c r="Q12" s="10" t="n">
        <v>1</v>
      </c>
      <c r="R12" s="10" t="n">
        <v>1</v>
      </c>
      <c r="S12" s="10" t="n">
        <v>3</v>
      </c>
      <c r="T12" s="10" t="n">
        <v>5</v>
      </c>
      <c r="U12" s="10" t="n">
        <v>4</v>
      </c>
      <c r="V12" s="10" t="n">
        <v>5</v>
      </c>
      <c r="W12" s="20" t="n">
        <f aca="false">SUMPRODUCT(C12:V12,$C$5:$V$5)/5</f>
        <v>60</v>
      </c>
      <c r="X12" s="8"/>
      <c r="Y12" s="8"/>
    </row>
    <row r="13" customFormat="false" ht="15" hidden="false" customHeight="false" outlineLevel="0" collapsed="false">
      <c r="A13" s="5" t="s">
        <v>940</v>
      </c>
      <c r="B13" s="5" t="s">
        <v>938</v>
      </c>
      <c r="C13" s="10" t="n">
        <v>3</v>
      </c>
      <c r="D13" s="10" t="n">
        <v>3</v>
      </c>
      <c r="E13" s="10" t="n">
        <v>2</v>
      </c>
      <c r="F13" s="10" t="n">
        <v>4</v>
      </c>
      <c r="G13" s="10" t="n">
        <v>5</v>
      </c>
      <c r="H13" s="10" t="n">
        <v>5</v>
      </c>
      <c r="I13" s="10" t="n">
        <v>3</v>
      </c>
      <c r="J13" s="10" t="n">
        <v>5</v>
      </c>
      <c r="K13" s="10" t="n">
        <v>4</v>
      </c>
      <c r="L13" s="10" t="n">
        <v>3</v>
      </c>
      <c r="M13" s="10" t="n">
        <v>2</v>
      </c>
      <c r="N13" s="10" t="n">
        <v>3</v>
      </c>
      <c r="O13" s="10" t="n">
        <v>2</v>
      </c>
      <c r="P13" s="10" t="n">
        <v>1</v>
      </c>
      <c r="Q13" s="10" t="n">
        <v>2</v>
      </c>
      <c r="R13" s="10" t="n">
        <v>0</v>
      </c>
      <c r="S13" s="10" t="n">
        <v>3</v>
      </c>
      <c r="T13" s="10" t="n">
        <v>5</v>
      </c>
      <c r="U13" s="10" t="n">
        <v>4</v>
      </c>
      <c r="V13" s="10" t="n">
        <v>4</v>
      </c>
      <c r="W13" s="20" t="n">
        <f aca="false">SUMPRODUCT(C13:V13,$C$5:$V$5)/5</f>
        <v>63.2</v>
      </c>
      <c r="X13" s="8"/>
      <c r="Y13" s="8"/>
    </row>
    <row r="14" customFormat="false" ht="15" hidden="false" customHeight="false" outlineLevel="0" collapsed="false">
      <c r="A14" s="5" t="s">
        <v>941</v>
      </c>
      <c r="B14" s="5" t="s">
        <v>942</v>
      </c>
      <c r="C14" s="10" t="n">
        <v>2</v>
      </c>
      <c r="D14" s="10" t="n">
        <v>2</v>
      </c>
      <c r="E14" s="10" t="n">
        <v>2</v>
      </c>
      <c r="F14" s="10" t="n">
        <v>3</v>
      </c>
      <c r="G14" s="10" t="n">
        <v>5</v>
      </c>
      <c r="H14" s="10" t="n">
        <v>4</v>
      </c>
      <c r="I14" s="10" t="n">
        <v>4</v>
      </c>
      <c r="J14" s="10" t="n">
        <v>5</v>
      </c>
      <c r="K14" s="10" t="n">
        <v>5</v>
      </c>
      <c r="L14" s="10" t="n">
        <v>4</v>
      </c>
      <c r="M14" s="10" t="n">
        <v>4</v>
      </c>
      <c r="N14" s="10" t="n">
        <v>3</v>
      </c>
      <c r="O14" s="10" t="n">
        <v>1</v>
      </c>
      <c r="P14" s="10" t="n">
        <v>0</v>
      </c>
      <c r="Q14" s="10" t="n">
        <v>0</v>
      </c>
      <c r="R14" s="10" t="n">
        <v>0</v>
      </c>
      <c r="S14" s="10" t="n">
        <v>3</v>
      </c>
      <c r="T14" s="10" t="n">
        <v>5</v>
      </c>
      <c r="U14" s="10" t="n">
        <v>4</v>
      </c>
      <c r="V14" s="10" t="n">
        <v>2</v>
      </c>
      <c r="W14" s="20" t="n">
        <f aca="false">SUMPRODUCT(C14:V14,$C$5:$V$5)/5</f>
        <v>59</v>
      </c>
      <c r="X14" s="8"/>
      <c r="Y14" s="8"/>
    </row>
    <row r="15" customFormat="false" ht="15" hidden="false" customHeight="false" outlineLevel="0" collapsed="false">
      <c r="A15" s="5" t="s">
        <v>943</v>
      </c>
      <c r="B15" s="5" t="s">
        <v>944</v>
      </c>
      <c r="C15" s="10" t="n">
        <v>3</v>
      </c>
      <c r="D15" s="10" t="n">
        <v>2</v>
      </c>
      <c r="E15" s="10" t="n">
        <v>2</v>
      </c>
      <c r="F15" s="10" t="n">
        <v>3</v>
      </c>
      <c r="G15" s="10" t="n">
        <v>4</v>
      </c>
      <c r="H15" s="10" t="n">
        <v>3</v>
      </c>
      <c r="I15" s="10" t="n">
        <v>2</v>
      </c>
      <c r="J15" s="10" t="n">
        <v>4</v>
      </c>
      <c r="K15" s="10" t="n">
        <v>3</v>
      </c>
      <c r="L15" s="10" t="n">
        <v>4</v>
      </c>
      <c r="M15" s="10" t="n">
        <v>5</v>
      </c>
      <c r="N15" s="10" t="n">
        <v>4</v>
      </c>
      <c r="O15" s="10" t="n">
        <v>2</v>
      </c>
      <c r="P15" s="10" t="n">
        <v>1</v>
      </c>
      <c r="Q15" s="10" t="n">
        <v>1</v>
      </c>
      <c r="R15" s="10" t="n">
        <v>4</v>
      </c>
      <c r="S15" s="10" t="n">
        <v>5</v>
      </c>
      <c r="T15" s="10" t="n">
        <v>5</v>
      </c>
      <c r="U15" s="10" t="n">
        <v>4</v>
      </c>
      <c r="V15" s="10" t="n">
        <v>2</v>
      </c>
      <c r="W15" s="20" t="n">
        <f aca="false">SUMPRODUCT(C15:V15,$C$5:$V$5)/5</f>
        <v>64.2</v>
      </c>
      <c r="X15" s="8"/>
      <c r="Y15" s="8"/>
    </row>
    <row r="16" customFormat="false" ht="15" hidden="false" customHeight="false" outlineLevel="0" collapsed="false">
      <c r="A16" s="5" t="s">
        <v>945</v>
      </c>
      <c r="B16" s="5" t="s">
        <v>944</v>
      </c>
      <c r="C16" s="10" t="n">
        <v>3</v>
      </c>
      <c r="D16" s="10" t="n">
        <v>2</v>
      </c>
      <c r="E16" s="10" t="n">
        <v>2</v>
      </c>
      <c r="F16" s="10" t="n">
        <v>3</v>
      </c>
      <c r="G16" s="10" t="n">
        <v>3</v>
      </c>
      <c r="H16" s="10" t="n">
        <v>3</v>
      </c>
      <c r="I16" s="10" t="n">
        <v>2</v>
      </c>
      <c r="J16" s="10" t="n">
        <v>4</v>
      </c>
      <c r="K16" s="10" t="n">
        <v>2</v>
      </c>
      <c r="L16" s="10" t="n">
        <v>3</v>
      </c>
      <c r="M16" s="10" t="n">
        <v>5</v>
      </c>
      <c r="N16" s="10" t="n">
        <v>3</v>
      </c>
      <c r="O16" s="10" t="n">
        <v>2</v>
      </c>
      <c r="P16" s="10" t="n">
        <v>1</v>
      </c>
      <c r="Q16" s="10" t="n">
        <v>1</v>
      </c>
      <c r="R16" s="10" t="n">
        <v>4</v>
      </c>
      <c r="S16" s="10" t="n">
        <v>5</v>
      </c>
      <c r="T16" s="10" t="n">
        <v>5</v>
      </c>
      <c r="U16" s="10" t="n">
        <v>4</v>
      </c>
      <c r="V16" s="10" t="n">
        <v>2</v>
      </c>
      <c r="W16" s="20" t="n">
        <f aca="false">SUMPRODUCT(C16:V16,$C$5:$V$5)/5</f>
        <v>60</v>
      </c>
      <c r="X16" s="8"/>
      <c r="Y16" s="8"/>
    </row>
    <row r="17" customFormat="false" ht="15" hidden="false" customHeight="false" outlineLevel="0" collapsed="false">
      <c r="A17" s="5" t="s">
        <v>946</v>
      </c>
      <c r="B17" s="5" t="s">
        <v>947</v>
      </c>
      <c r="C17" s="10" t="n">
        <v>4</v>
      </c>
      <c r="D17" s="10" t="n">
        <v>1</v>
      </c>
      <c r="E17" s="10" t="n">
        <v>2</v>
      </c>
      <c r="F17" s="10" t="n">
        <v>2</v>
      </c>
      <c r="G17" s="10" t="n">
        <v>3</v>
      </c>
      <c r="H17" s="10" t="n">
        <v>4</v>
      </c>
      <c r="I17" s="10" t="n">
        <v>1</v>
      </c>
      <c r="J17" s="10" t="n">
        <v>3</v>
      </c>
      <c r="K17" s="10" t="n">
        <v>5</v>
      </c>
      <c r="L17" s="10" t="n">
        <v>2</v>
      </c>
      <c r="M17" s="10" t="n">
        <v>5</v>
      </c>
      <c r="N17" s="10" t="n">
        <v>5</v>
      </c>
      <c r="O17" s="10" t="n">
        <v>3</v>
      </c>
      <c r="P17" s="10" t="n">
        <v>1</v>
      </c>
      <c r="Q17" s="10" t="n">
        <v>1</v>
      </c>
      <c r="R17" s="10" t="n">
        <v>3</v>
      </c>
      <c r="S17" s="10" t="n">
        <v>5</v>
      </c>
      <c r="T17" s="10" t="n">
        <v>5</v>
      </c>
      <c r="U17" s="10" t="n">
        <v>5</v>
      </c>
      <c r="V17" s="10" t="n">
        <v>2</v>
      </c>
      <c r="W17" s="20" t="n">
        <f aca="false">SUMPRODUCT(C17:V17,$C$5:$V$5)/5</f>
        <v>63.2</v>
      </c>
      <c r="X17" s="8"/>
      <c r="Y17" s="8"/>
    </row>
    <row r="18" customFormat="false" ht="15" hidden="false" customHeight="false" outlineLevel="0" collapsed="false">
      <c r="A18" s="5" t="s">
        <v>948</v>
      </c>
      <c r="B18" s="5" t="s">
        <v>949</v>
      </c>
      <c r="C18" s="10" t="n">
        <v>4</v>
      </c>
      <c r="D18" s="10" t="n">
        <v>2</v>
      </c>
      <c r="E18" s="10" t="n">
        <v>2</v>
      </c>
      <c r="F18" s="10" t="n">
        <v>3</v>
      </c>
      <c r="G18" s="10" t="n">
        <v>5</v>
      </c>
      <c r="H18" s="10" t="n">
        <v>5</v>
      </c>
      <c r="I18" s="10" t="n">
        <v>4</v>
      </c>
      <c r="J18" s="10" t="n">
        <v>4</v>
      </c>
      <c r="K18" s="10" t="n">
        <v>4</v>
      </c>
      <c r="L18" s="10" t="n">
        <v>0</v>
      </c>
      <c r="M18" s="10" t="n">
        <v>5</v>
      </c>
      <c r="N18" s="10" t="n">
        <v>3</v>
      </c>
      <c r="O18" s="10" t="n">
        <v>5</v>
      </c>
      <c r="P18" s="10" t="n">
        <v>3</v>
      </c>
      <c r="Q18" s="10" t="n">
        <v>2</v>
      </c>
      <c r="R18" s="10" t="n">
        <v>2</v>
      </c>
      <c r="S18" s="10" t="n">
        <v>5</v>
      </c>
      <c r="T18" s="10" t="n">
        <v>5</v>
      </c>
      <c r="U18" s="10" t="n">
        <v>4</v>
      </c>
      <c r="V18" s="10" t="n">
        <v>3</v>
      </c>
      <c r="W18" s="20" t="n">
        <f aca="false">SUMPRODUCT(C18:V18,$C$5:$V$5)/5</f>
        <v>70</v>
      </c>
      <c r="X18" s="8"/>
      <c r="Y18" s="8"/>
    </row>
    <row r="19" customFormat="false" ht="15" hidden="false" customHeight="false" outlineLevel="0" collapsed="false">
      <c r="A19" s="5" t="s">
        <v>950</v>
      </c>
      <c r="B19" s="5" t="s">
        <v>949</v>
      </c>
      <c r="C19" s="10" t="n">
        <v>3</v>
      </c>
      <c r="D19" s="10" t="n">
        <v>3</v>
      </c>
      <c r="E19" s="10" t="n">
        <v>2</v>
      </c>
      <c r="F19" s="10" t="n">
        <v>4</v>
      </c>
      <c r="G19" s="10" t="n">
        <v>5</v>
      </c>
      <c r="H19" s="10" t="n">
        <v>4</v>
      </c>
      <c r="I19" s="10" t="n">
        <v>3</v>
      </c>
      <c r="J19" s="10" t="n">
        <v>5</v>
      </c>
      <c r="K19" s="10" t="n">
        <v>2</v>
      </c>
      <c r="L19" s="10" t="n">
        <v>4</v>
      </c>
      <c r="M19" s="10" t="n">
        <v>4</v>
      </c>
      <c r="N19" s="10" t="n">
        <v>2</v>
      </c>
      <c r="O19" s="10" t="n">
        <v>1</v>
      </c>
      <c r="P19" s="10" t="n">
        <v>1</v>
      </c>
      <c r="Q19" s="10" t="n">
        <v>1</v>
      </c>
      <c r="R19" s="10" t="n">
        <v>1</v>
      </c>
      <c r="S19" s="10" t="n">
        <v>3</v>
      </c>
      <c r="T19" s="10" t="n">
        <v>5</v>
      </c>
      <c r="U19" s="10" t="n">
        <v>3</v>
      </c>
      <c r="V19" s="10" t="n">
        <v>2</v>
      </c>
      <c r="W19" s="20" t="n">
        <f aca="false">SUMPRODUCT(C19:V19,$C$5:$V$5)/5</f>
        <v>59</v>
      </c>
      <c r="X19" s="8"/>
      <c r="Y19" s="8"/>
    </row>
    <row r="20" customFormat="false" ht="15" hidden="false" customHeight="false" outlineLevel="0" collapsed="false">
      <c r="A20" s="5" t="s">
        <v>951</v>
      </c>
      <c r="B20" s="5" t="s">
        <v>952</v>
      </c>
      <c r="C20" s="10" t="n">
        <v>3</v>
      </c>
      <c r="D20" s="10" t="n">
        <v>1</v>
      </c>
      <c r="E20" s="10" t="n">
        <v>1</v>
      </c>
      <c r="F20" s="10" t="n">
        <v>1</v>
      </c>
      <c r="G20" s="10" t="n">
        <v>2</v>
      </c>
      <c r="H20" s="10" t="n">
        <v>2</v>
      </c>
      <c r="I20" s="10" t="n">
        <v>1</v>
      </c>
      <c r="J20" s="10" t="n">
        <v>1</v>
      </c>
      <c r="K20" s="10" t="n">
        <v>1</v>
      </c>
      <c r="L20" s="10" t="n">
        <v>2</v>
      </c>
      <c r="M20" s="10" t="n">
        <v>4</v>
      </c>
      <c r="N20" s="10" t="n">
        <v>3</v>
      </c>
      <c r="O20" s="10" t="n">
        <v>5</v>
      </c>
      <c r="P20" s="10" t="n">
        <v>4</v>
      </c>
      <c r="Q20" s="10" t="n">
        <v>3</v>
      </c>
      <c r="R20" s="10" t="n">
        <v>2</v>
      </c>
      <c r="S20" s="10" t="n">
        <v>4</v>
      </c>
      <c r="T20" s="10" t="n">
        <v>4</v>
      </c>
      <c r="U20" s="10" t="n">
        <v>3</v>
      </c>
      <c r="V20" s="10" t="n">
        <v>2</v>
      </c>
      <c r="W20" s="20" t="n">
        <f aca="false">SUMPRODUCT(C20:V20,$C$5:$V$5)/5</f>
        <v>47.4</v>
      </c>
      <c r="X20" s="8"/>
      <c r="Y20" s="8"/>
    </row>
    <row r="21" customFormat="false" ht="15" hidden="false" customHeight="false" outlineLevel="0" collapsed="false">
      <c r="A21" s="5" t="s">
        <v>953</v>
      </c>
      <c r="B21" s="5" t="s">
        <v>954</v>
      </c>
      <c r="C21" s="10" t="n">
        <v>2</v>
      </c>
      <c r="D21" s="10" t="n">
        <v>1</v>
      </c>
      <c r="E21" s="10" t="n">
        <v>1</v>
      </c>
      <c r="F21" s="10" t="n">
        <v>1</v>
      </c>
      <c r="G21" s="10" t="n">
        <v>3</v>
      </c>
      <c r="H21" s="10" t="n">
        <v>2</v>
      </c>
      <c r="I21" s="10" t="n">
        <v>5</v>
      </c>
      <c r="J21" s="10" t="n">
        <v>1</v>
      </c>
      <c r="K21" s="10" t="n">
        <v>3</v>
      </c>
      <c r="L21" s="10" t="n">
        <v>1</v>
      </c>
      <c r="M21" s="10" t="n">
        <v>2</v>
      </c>
      <c r="N21" s="10" t="n">
        <v>3</v>
      </c>
      <c r="O21" s="10" t="n">
        <v>5</v>
      </c>
      <c r="P21" s="10" t="n">
        <v>5</v>
      </c>
      <c r="Q21" s="10" t="n">
        <v>5</v>
      </c>
      <c r="R21" s="10" t="n">
        <v>3</v>
      </c>
      <c r="S21" s="10" t="n">
        <v>2</v>
      </c>
      <c r="T21" s="10" t="n">
        <v>1</v>
      </c>
      <c r="U21" s="10" t="n">
        <v>2</v>
      </c>
      <c r="V21" s="10" t="n">
        <v>3</v>
      </c>
      <c r="W21" s="20" t="n">
        <f aca="false">SUMPRODUCT(C21:V21,$C$5:$V$5)/5</f>
        <v>48.4</v>
      </c>
      <c r="X21" s="8"/>
      <c r="Y21" s="8"/>
    </row>
    <row r="22" customFormat="false" ht="23.85" hidden="false" customHeight="false" outlineLevel="0" collapsed="false">
      <c r="A22" s="5" t="s">
        <v>955</v>
      </c>
      <c r="B22" s="5" t="s">
        <v>956</v>
      </c>
      <c r="C22" s="10" t="n">
        <v>0</v>
      </c>
      <c r="D22" s="10" t="n">
        <v>5</v>
      </c>
      <c r="E22" s="10" t="n">
        <v>4</v>
      </c>
      <c r="F22" s="10" t="n">
        <v>5</v>
      </c>
      <c r="G22" s="10" t="n">
        <v>5</v>
      </c>
      <c r="H22" s="10" t="n">
        <v>5</v>
      </c>
      <c r="I22" s="10" t="n">
        <v>3</v>
      </c>
      <c r="J22" s="10" t="n">
        <v>5</v>
      </c>
      <c r="K22" s="10" t="n">
        <v>3</v>
      </c>
      <c r="L22" s="10" t="n">
        <v>5</v>
      </c>
      <c r="M22" s="10" t="n">
        <v>5</v>
      </c>
      <c r="N22" s="10" t="n">
        <v>5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2</v>
      </c>
      <c r="T22" s="10" t="n">
        <v>4</v>
      </c>
      <c r="U22" s="10" t="n">
        <v>3</v>
      </c>
      <c r="V22" s="10" t="n">
        <v>2</v>
      </c>
      <c r="W22" s="20" t="n">
        <f aca="false">SUMPRODUCT(C22:V22,$C$5:$V$5)/5</f>
        <v>62.6</v>
      </c>
      <c r="X22" s="8"/>
      <c r="Y22" s="8"/>
    </row>
    <row r="24" customFormat="false" ht="15" hidden="false" customHeight="false" outlineLevel="0" collapsed="false">
      <c r="A24" s="9" t="s">
        <v>957</v>
      </c>
    </row>
    <row r="25" customFormat="false" ht="22.35" hidden="false" customHeight="false" outlineLevel="0" collapsed="false">
      <c r="C25" s="21" t="s">
        <v>958</v>
      </c>
      <c r="D25" s="21" t="s">
        <v>958</v>
      </c>
      <c r="E25" s="21" t="s">
        <v>958</v>
      </c>
      <c r="F25" s="21" t="s">
        <v>958</v>
      </c>
      <c r="G25" s="21" t="s">
        <v>959</v>
      </c>
      <c r="H25" s="21" t="s">
        <v>959</v>
      </c>
      <c r="I25" s="21" t="s">
        <v>959</v>
      </c>
      <c r="J25" s="21" t="s">
        <v>959</v>
      </c>
      <c r="K25" s="21" t="s">
        <v>960</v>
      </c>
      <c r="L25" s="21" t="s">
        <v>960</v>
      </c>
      <c r="M25" s="21" t="s">
        <v>960</v>
      </c>
      <c r="N25" s="21" t="s">
        <v>960</v>
      </c>
      <c r="O25" s="21" t="s">
        <v>961</v>
      </c>
      <c r="P25" s="21" t="s">
        <v>961</v>
      </c>
      <c r="Q25" s="21" t="s">
        <v>961</v>
      </c>
      <c r="R25" s="21" t="s">
        <v>961</v>
      </c>
      <c r="S25" s="21" t="s">
        <v>962</v>
      </c>
      <c r="T25" s="21" t="s">
        <v>962</v>
      </c>
      <c r="U25" s="21" t="s">
        <v>962</v>
      </c>
      <c r="V25" s="21" t="s">
        <v>962</v>
      </c>
    </row>
    <row r="27" customFormat="false" ht="15" hidden="false" customHeight="false" outlineLevel="0" collapsed="false">
      <c r="A27" s="22" t="s">
        <v>963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</sheetData>
  <mergeCells count="1">
    <mergeCell ref="A27:L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" t="s">
        <v>964</v>
      </c>
    </row>
    <row r="2" customFormat="false" ht="15" hidden="false" customHeight="false" outlineLevel="0" collapsed="false">
      <c r="A2" s="2" t="s">
        <v>965</v>
      </c>
    </row>
    <row r="4" customFormat="false" ht="30" hidden="false" customHeight="true" outlineLevel="0" collapsed="false">
      <c r="A4" s="3" t="s">
        <v>482</v>
      </c>
      <c r="B4" s="3" t="s">
        <v>132</v>
      </c>
      <c r="C4" s="3" t="s">
        <v>966</v>
      </c>
      <c r="D4" s="3" t="s">
        <v>967</v>
      </c>
      <c r="E4" s="3" t="s">
        <v>483</v>
      </c>
      <c r="F4" s="3" t="s">
        <v>968</v>
      </c>
      <c r="G4" s="3" t="s">
        <v>969</v>
      </c>
      <c r="H4" s="3" t="s">
        <v>970</v>
      </c>
      <c r="I4" s="3" t="s">
        <v>971</v>
      </c>
      <c r="J4" s="3" t="s">
        <v>972</v>
      </c>
      <c r="K4" s="3" t="s">
        <v>973</v>
      </c>
      <c r="L4" s="3" t="s">
        <v>487</v>
      </c>
      <c r="M4" s="3" t="s">
        <v>974</v>
      </c>
      <c r="N4" s="3" t="s">
        <v>86</v>
      </c>
    </row>
    <row r="5" customFormat="false" ht="35.05" hidden="false" customHeight="false" outlineLevel="0" collapsed="false">
      <c r="A5" s="5" t="s">
        <v>975</v>
      </c>
      <c r="B5" s="5" t="s">
        <v>976</v>
      </c>
      <c r="C5" s="5" t="s">
        <v>977</v>
      </c>
      <c r="D5" s="5" t="s">
        <v>978</v>
      </c>
      <c r="E5" s="5" t="s">
        <v>979</v>
      </c>
      <c r="F5" s="10" t="s">
        <v>980</v>
      </c>
      <c r="G5" s="10" t="n">
        <v>0.6</v>
      </c>
      <c r="H5" s="10" t="n">
        <v>2</v>
      </c>
      <c r="I5" s="10" t="n">
        <v>0.8</v>
      </c>
      <c r="J5" s="10" t="n">
        <v>4</v>
      </c>
      <c r="K5" s="12" t="n">
        <f aca="false">IFERROR(ROUND(G5*H5*I5/J5,2),0)</f>
        <v>0.24</v>
      </c>
      <c r="L5" s="5"/>
      <c r="M5" s="5"/>
      <c r="N5" s="5" t="s">
        <v>981</v>
      </c>
      <c r="O5" s="5" t="s">
        <v>982</v>
      </c>
    </row>
    <row r="6" customFormat="false" ht="35.05" hidden="false" customHeight="false" outlineLevel="0" collapsed="false">
      <c r="A6" s="5" t="s">
        <v>983</v>
      </c>
      <c r="B6" s="5" t="s">
        <v>984</v>
      </c>
      <c r="C6" s="5" t="s">
        <v>985</v>
      </c>
      <c r="D6" s="5" t="s">
        <v>986</v>
      </c>
      <c r="E6" s="5" t="s">
        <v>987</v>
      </c>
      <c r="F6" s="10" t="s">
        <v>980</v>
      </c>
      <c r="G6" s="10" t="n">
        <v>0.5</v>
      </c>
      <c r="H6" s="10" t="n">
        <v>2</v>
      </c>
      <c r="I6" s="10" t="n">
        <v>0.7</v>
      </c>
      <c r="J6" s="10" t="n">
        <v>6</v>
      </c>
      <c r="K6" s="12" t="n">
        <f aca="false">IFERROR(ROUND(G6*H6*I6/J6,2),0)</f>
        <v>0.12</v>
      </c>
      <c r="L6" s="5"/>
      <c r="M6" s="5"/>
      <c r="N6" s="5" t="s">
        <v>981</v>
      </c>
      <c r="O6" s="5" t="s">
        <v>982</v>
      </c>
    </row>
    <row r="7" customFormat="false" ht="23.85" hidden="false" customHeight="false" outlineLevel="0" collapsed="false">
      <c r="A7" s="5" t="s">
        <v>988</v>
      </c>
      <c r="B7" s="5" t="s">
        <v>989</v>
      </c>
      <c r="C7" s="5" t="s">
        <v>990</v>
      </c>
      <c r="D7" s="5" t="s">
        <v>991</v>
      </c>
      <c r="E7" s="5" t="s">
        <v>992</v>
      </c>
      <c r="F7" s="10" t="s">
        <v>993</v>
      </c>
      <c r="G7" s="10" t="n">
        <v>0.9</v>
      </c>
      <c r="H7" s="10" t="n">
        <v>2</v>
      </c>
      <c r="I7" s="10" t="n">
        <v>0.6</v>
      </c>
      <c r="J7" s="10" t="n">
        <v>5</v>
      </c>
      <c r="K7" s="12" t="n">
        <f aca="false">IFERROR(ROUND(G7*H7*I7/J7,2),0)</f>
        <v>0.22</v>
      </c>
      <c r="L7" s="5"/>
      <c r="M7" s="5"/>
      <c r="N7" s="5" t="s">
        <v>981</v>
      </c>
      <c r="O7" s="5" t="s">
        <v>982</v>
      </c>
    </row>
    <row r="8" customFormat="false" ht="35.05" hidden="false" customHeight="false" outlineLevel="0" collapsed="false">
      <c r="A8" s="5" t="s">
        <v>994</v>
      </c>
      <c r="B8" s="5" t="s">
        <v>995</v>
      </c>
      <c r="C8" s="5" t="s">
        <v>996</v>
      </c>
      <c r="D8" s="5" t="s">
        <v>997</v>
      </c>
      <c r="E8" s="5" t="s">
        <v>998</v>
      </c>
      <c r="F8" s="10" t="s">
        <v>980</v>
      </c>
      <c r="G8" s="10" t="n">
        <v>0.4</v>
      </c>
      <c r="H8" s="10" t="n">
        <v>2</v>
      </c>
      <c r="I8" s="10" t="n">
        <v>0.8</v>
      </c>
      <c r="J8" s="10" t="n">
        <v>8</v>
      </c>
      <c r="K8" s="12" t="n">
        <f aca="false">IFERROR(ROUND(G8*H8*I8/J8,2),0)</f>
        <v>0.08</v>
      </c>
      <c r="L8" s="5"/>
      <c r="M8" s="5"/>
      <c r="N8" s="5" t="s">
        <v>981</v>
      </c>
      <c r="O8" s="5" t="s">
        <v>982</v>
      </c>
    </row>
    <row r="9" customFormat="false" ht="23.85" hidden="false" customHeight="false" outlineLevel="0" collapsed="false">
      <c r="A9" s="5" t="s">
        <v>999</v>
      </c>
      <c r="B9" s="5" t="s">
        <v>681</v>
      </c>
      <c r="C9" s="5" t="s">
        <v>1000</v>
      </c>
      <c r="D9" s="5" t="s">
        <v>1001</v>
      </c>
      <c r="E9" s="5" t="s">
        <v>1002</v>
      </c>
      <c r="F9" s="10" t="s">
        <v>980</v>
      </c>
      <c r="G9" s="10" t="n">
        <v>0.8</v>
      </c>
      <c r="H9" s="10" t="n">
        <v>2</v>
      </c>
      <c r="I9" s="10" t="n">
        <v>0.9</v>
      </c>
      <c r="J9" s="10" t="n">
        <v>2</v>
      </c>
      <c r="K9" s="12" t="n">
        <f aca="false">IFERROR(ROUND(G9*H9*I9/J9,2),0)</f>
        <v>0.72</v>
      </c>
      <c r="L9" s="5"/>
      <c r="M9" s="5"/>
      <c r="N9" s="5" t="s">
        <v>981</v>
      </c>
      <c r="O9" s="5" t="s">
        <v>982</v>
      </c>
    </row>
    <row r="10" customFormat="false" ht="23.85" hidden="false" customHeight="false" outlineLevel="0" collapsed="false">
      <c r="A10" s="5" t="s">
        <v>1003</v>
      </c>
      <c r="B10" s="5" t="s">
        <v>1004</v>
      </c>
      <c r="C10" s="5" t="s">
        <v>1005</v>
      </c>
      <c r="D10" s="5" t="s">
        <v>1006</v>
      </c>
      <c r="E10" s="5" t="s">
        <v>1007</v>
      </c>
      <c r="F10" s="10" t="s">
        <v>980</v>
      </c>
      <c r="G10" s="10" t="n">
        <v>0.5</v>
      </c>
      <c r="H10" s="10" t="n">
        <v>3</v>
      </c>
      <c r="I10" s="10" t="n">
        <v>0.9</v>
      </c>
      <c r="J10" s="10" t="n">
        <v>3</v>
      </c>
      <c r="K10" s="12" t="n">
        <f aca="false">IFERROR(ROUND(G10*H10*I10/J10,2),0)</f>
        <v>0.45</v>
      </c>
      <c r="L10" s="5"/>
      <c r="M10" s="5"/>
      <c r="N10" s="5" t="s">
        <v>981</v>
      </c>
      <c r="O10" s="5" t="s">
        <v>982</v>
      </c>
    </row>
    <row r="11" customFormat="false" ht="23.85" hidden="false" customHeight="false" outlineLevel="0" collapsed="false">
      <c r="A11" s="5" t="s">
        <v>1008</v>
      </c>
      <c r="B11" s="5" t="s">
        <v>1009</v>
      </c>
      <c r="C11" s="5" t="s">
        <v>1010</v>
      </c>
      <c r="D11" s="5" t="s">
        <v>1011</v>
      </c>
      <c r="E11" s="5" t="s">
        <v>1012</v>
      </c>
      <c r="F11" s="10" t="s">
        <v>993</v>
      </c>
      <c r="G11" s="10" t="n">
        <v>0.7</v>
      </c>
      <c r="H11" s="10" t="n">
        <v>1</v>
      </c>
      <c r="I11" s="10" t="n">
        <v>0.9</v>
      </c>
      <c r="J11" s="10" t="n">
        <v>1</v>
      </c>
      <c r="K11" s="12" t="n">
        <f aca="false">IFERROR(ROUND(G11*H11*I11/J11,2),0)</f>
        <v>0.63</v>
      </c>
      <c r="L11" s="5"/>
      <c r="M11" s="5"/>
      <c r="N11" s="5" t="s">
        <v>981</v>
      </c>
      <c r="O11" s="5" t="s">
        <v>982</v>
      </c>
    </row>
    <row r="12" customFormat="false" ht="23.85" hidden="false" customHeight="false" outlineLevel="0" collapsed="false">
      <c r="A12" s="5" t="s">
        <v>1013</v>
      </c>
      <c r="B12" s="5" t="s">
        <v>1014</v>
      </c>
      <c r="C12" s="5" t="s">
        <v>1015</v>
      </c>
      <c r="D12" s="5" t="s">
        <v>1016</v>
      </c>
      <c r="E12" s="5" t="s">
        <v>1017</v>
      </c>
      <c r="F12" s="10" t="s">
        <v>980</v>
      </c>
      <c r="G12" s="10" t="n">
        <v>0.3</v>
      </c>
      <c r="H12" s="10" t="n">
        <v>2</v>
      </c>
      <c r="I12" s="10" t="n">
        <v>0.7</v>
      </c>
      <c r="J12" s="10" t="n">
        <v>3</v>
      </c>
      <c r="K12" s="12" t="n">
        <f aca="false">IFERROR(ROUND(G12*H12*I12/J12,2),0)</f>
        <v>0.14</v>
      </c>
      <c r="L12" s="5"/>
      <c r="M12" s="5"/>
      <c r="N12" s="5" t="s">
        <v>981</v>
      </c>
      <c r="O12" s="5" t="s">
        <v>982</v>
      </c>
    </row>
    <row r="13" customFormat="false" ht="23.85" hidden="false" customHeight="false" outlineLevel="0" collapsed="false">
      <c r="A13" s="5" t="s">
        <v>1018</v>
      </c>
      <c r="B13" s="5" t="s">
        <v>1019</v>
      </c>
      <c r="C13" s="5" t="s">
        <v>1020</v>
      </c>
      <c r="D13" s="5" t="s">
        <v>1021</v>
      </c>
      <c r="E13" s="5" t="s">
        <v>1022</v>
      </c>
      <c r="F13" s="10" t="s">
        <v>1023</v>
      </c>
      <c r="G13" s="10" t="n">
        <v>0.2</v>
      </c>
      <c r="H13" s="10" t="n">
        <v>3</v>
      </c>
      <c r="I13" s="10" t="n">
        <v>1</v>
      </c>
      <c r="J13" s="10" t="n">
        <v>1</v>
      </c>
      <c r="K13" s="12" t="n">
        <f aca="false">IFERROR(ROUND(G13*H13*I13/J13,2),0)</f>
        <v>0.6</v>
      </c>
      <c r="L13" s="5"/>
      <c r="M13" s="5"/>
      <c r="N13" s="5" t="s">
        <v>981</v>
      </c>
      <c r="O13" s="5" t="s">
        <v>982</v>
      </c>
    </row>
    <row r="14" customFormat="false" ht="23.85" hidden="false" customHeight="false" outlineLevel="0" collapsed="false">
      <c r="A14" s="5" t="s">
        <v>1024</v>
      </c>
      <c r="B14" s="5" t="s">
        <v>1025</v>
      </c>
      <c r="C14" s="5" t="s">
        <v>1026</v>
      </c>
      <c r="D14" s="5" t="s">
        <v>1027</v>
      </c>
      <c r="E14" s="5" t="s">
        <v>1012</v>
      </c>
      <c r="F14" s="10" t="s">
        <v>980</v>
      </c>
      <c r="G14" s="10" t="n">
        <v>0.4</v>
      </c>
      <c r="H14" s="10" t="n">
        <v>2</v>
      </c>
      <c r="I14" s="10" t="n">
        <v>0.8</v>
      </c>
      <c r="J14" s="10" t="n">
        <v>4</v>
      </c>
      <c r="K14" s="12" t="n">
        <f aca="false">IFERROR(ROUND(G14*H14*I14/J14,2),0)</f>
        <v>0.16</v>
      </c>
      <c r="L14" s="5"/>
      <c r="M14" s="5"/>
      <c r="N14" s="5" t="s">
        <v>981</v>
      </c>
      <c r="O14" s="5" t="s">
        <v>982</v>
      </c>
    </row>
    <row r="16" customFormat="false" ht="15" hidden="false" customHeight="false" outlineLevel="0" collapsed="false">
      <c r="C16" s="2" t="s">
        <v>1028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3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4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1029</v>
      </c>
    </row>
    <row r="2" customFormat="false" ht="15" hidden="false" customHeight="false" outlineLevel="0" collapsed="false">
      <c r="A2" s="2" t="s">
        <v>1030</v>
      </c>
    </row>
    <row r="4" customFormat="false" ht="30" hidden="false" customHeight="true" outlineLevel="0" collapsed="false">
      <c r="A4" s="3" t="s">
        <v>1031</v>
      </c>
      <c r="B4" s="3" t="s">
        <v>1032</v>
      </c>
      <c r="C4" s="3" t="s">
        <v>1033</v>
      </c>
      <c r="D4" s="3" t="s">
        <v>1034</v>
      </c>
      <c r="E4" s="3" t="s">
        <v>1035</v>
      </c>
      <c r="F4" s="3" t="s">
        <v>1036</v>
      </c>
      <c r="G4" s="3" t="s">
        <v>968</v>
      </c>
      <c r="H4" s="3" t="s">
        <v>487</v>
      </c>
      <c r="I4" s="3" t="s">
        <v>1037</v>
      </c>
      <c r="J4" s="3" t="s">
        <v>1038</v>
      </c>
      <c r="K4" s="3" t="s">
        <v>87</v>
      </c>
      <c r="L4" s="3" t="s">
        <v>86</v>
      </c>
    </row>
    <row r="5" customFormat="false" ht="35.05" hidden="false" customHeight="false" outlineLevel="0" collapsed="false">
      <c r="A5" s="5" t="s">
        <v>1039</v>
      </c>
      <c r="B5" s="5" t="s">
        <v>1040</v>
      </c>
      <c r="C5" s="5" t="s">
        <v>638</v>
      </c>
      <c r="D5" s="5" t="s">
        <v>641</v>
      </c>
      <c r="E5" s="5" t="s">
        <v>1041</v>
      </c>
      <c r="F5" s="5" t="s">
        <v>1042</v>
      </c>
      <c r="G5" s="7" t="s">
        <v>980</v>
      </c>
      <c r="H5" s="5" t="s">
        <v>1043</v>
      </c>
      <c r="I5" s="5" t="s">
        <v>1044</v>
      </c>
      <c r="J5" s="5"/>
      <c r="K5" s="5"/>
      <c r="L5" s="5"/>
    </row>
    <row r="6" customFormat="false" ht="23.85" hidden="false" customHeight="false" outlineLevel="0" collapsed="false">
      <c r="A6" s="5" t="s">
        <v>1045</v>
      </c>
      <c r="B6" s="5" t="s">
        <v>1046</v>
      </c>
      <c r="C6" s="5" t="s">
        <v>1047</v>
      </c>
      <c r="D6" s="5" t="s">
        <v>644</v>
      </c>
      <c r="E6" s="5" t="s">
        <v>1048</v>
      </c>
      <c r="F6" s="5" t="s">
        <v>1049</v>
      </c>
      <c r="G6" s="7" t="s">
        <v>1023</v>
      </c>
      <c r="H6" s="5" t="s">
        <v>8</v>
      </c>
      <c r="I6" s="5" t="s">
        <v>1050</v>
      </c>
      <c r="J6" s="5"/>
      <c r="K6" s="5"/>
      <c r="L6" s="5"/>
    </row>
    <row r="7" customFormat="false" ht="23.85" hidden="false" customHeight="false" outlineLevel="0" collapsed="false">
      <c r="A7" s="5" t="s">
        <v>1051</v>
      </c>
      <c r="B7" s="5" t="s">
        <v>1052</v>
      </c>
      <c r="C7" s="5" t="s">
        <v>533</v>
      </c>
      <c r="D7" s="5" t="s">
        <v>550</v>
      </c>
      <c r="E7" s="5" t="s">
        <v>1053</v>
      </c>
      <c r="F7" s="5" t="s">
        <v>1054</v>
      </c>
      <c r="G7" s="7" t="s">
        <v>1023</v>
      </c>
      <c r="H7" s="5" t="s">
        <v>1055</v>
      </c>
      <c r="I7" s="5" t="s">
        <v>1056</v>
      </c>
      <c r="J7" s="5"/>
      <c r="K7" s="5"/>
      <c r="L7" s="5"/>
    </row>
    <row r="8" customFormat="false" ht="23.85" hidden="false" customHeight="false" outlineLevel="0" collapsed="false">
      <c r="A8" s="5" t="s">
        <v>1057</v>
      </c>
      <c r="B8" s="5" t="s">
        <v>1058</v>
      </c>
      <c r="C8" s="5" t="s">
        <v>717</v>
      </c>
      <c r="D8" s="5" t="s">
        <v>723</v>
      </c>
      <c r="E8" s="5" t="s">
        <v>1059</v>
      </c>
      <c r="F8" s="5" t="s">
        <v>1060</v>
      </c>
      <c r="G8" s="7" t="s">
        <v>1023</v>
      </c>
      <c r="H8" s="5" t="s">
        <v>1061</v>
      </c>
      <c r="I8" s="5" t="s">
        <v>1062</v>
      </c>
      <c r="J8" s="5"/>
      <c r="K8" s="5"/>
      <c r="L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7"/>
      <c r="H9" s="5"/>
      <c r="I9" s="5"/>
      <c r="J9" s="5"/>
      <c r="K9" s="5"/>
      <c r="L9" s="5"/>
    </row>
    <row r="11" customFormat="false" ht="15" hidden="false" customHeight="false" outlineLevel="0" collapsed="false">
      <c r="A11" s="2" t="s">
        <v>1063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58"/>
    <col collapsed="false" customWidth="true" hidden="false" outlineLevel="0" max="8" min="8" style="0" width="18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1064</v>
      </c>
    </row>
    <row r="2" customFormat="false" ht="15" hidden="false" customHeight="false" outlineLevel="0" collapsed="false">
      <c r="A2" s="2" t="s">
        <v>1065</v>
      </c>
    </row>
    <row r="4" customFormat="false" ht="30" hidden="false" customHeight="true" outlineLevel="0" collapsed="false">
      <c r="A4" s="3" t="s">
        <v>29</v>
      </c>
      <c r="B4" s="3" t="s">
        <v>1066</v>
      </c>
      <c r="C4" s="3" t="s">
        <v>902</v>
      </c>
      <c r="D4" s="3" t="s">
        <v>1067</v>
      </c>
      <c r="E4" s="3" t="s">
        <v>1068</v>
      </c>
      <c r="F4" s="3" t="s">
        <v>1069</v>
      </c>
      <c r="G4" s="3" t="s">
        <v>1070</v>
      </c>
      <c r="H4" s="3" t="s">
        <v>487</v>
      </c>
      <c r="I4" s="3" t="s">
        <v>1071</v>
      </c>
    </row>
    <row r="5" customFormat="false" ht="23.85" hidden="false" customHeight="false" outlineLevel="0" collapsed="false">
      <c r="A5" s="7" t="s">
        <v>1072</v>
      </c>
      <c r="B5" s="5" t="s">
        <v>1073</v>
      </c>
      <c r="C5" s="5" t="s">
        <v>1074</v>
      </c>
      <c r="D5" s="10" t="n">
        <v>4</v>
      </c>
      <c r="E5" s="10" t="n">
        <v>5</v>
      </c>
      <c r="F5" s="12" t="n">
        <f aca="false">D5*E5</f>
        <v>20</v>
      </c>
      <c r="G5" s="5" t="s">
        <v>1075</v>
      </c>
      <c r="H5" s="5" t="s">
        <v>1076</v>
      </c>
      <c r="I5" s="8"/>
    </row>
    <row r="6" customFormat="false" ht="23.85" hidden="false" customHeight="false" outlineLevel="0" collapsed="false">
      <c r="A6" s="7" t="s">
        <v>1077</v>
      </c>
      <c r="B6" s="5" t="s">
        <v>1078</v>
      </c>
      <c r="C6" s="5" t="s">
        <v>1079</v>
      </c>
      <c r="D6" s="10" t="n">
        <v>3</v>
      </c>
      <c r="E6" s="10" t="n">
        <v>5</v>
      </c>
      <c r="F6" s="12" t="n">
        <f aca="false">D6*E6</f>
        <v>15</v>
      </c>
      <c r="G6" s="5" t="s">
        <v>1080</v>
      </c>
      <c r="H6" s="5" t="s">
        <v>1081</v>
      </c>
      <c r="I6" s="8"/>
    </row>
    <row r="7" customFormat="false" ht="23.85" hidden="false" customHeight="false" outlineLevel="0" collapsed="false">
      <c r="A7" s="7" t="s">
        <v>1082</v>
      </c>
      <c r="B7" s="5" t="s">
        <v>1083</v>
      </c>
      <c r="C7" s="5" t="s">
        <v>1079</v>
      </c>
      <c r="D7" s="10" t="n">
        <v>4</v>
      </c>
      <c r="E7" s="10" t="n">
        <v>5</v>
      </c>
      <c r="F7" s="12" t="n">
        <f aca="false">D7*E7</f>
        <v>20</v>
      </c>
      <c r="G7" s="5" t="s">
        <v>1084</v>
      </c>
      <c r="H7" s="5" t="s">
        <v>1085</v>
      </c>
      <c r="I7" s="8"/>
    </row>
    <row r="8" customFormat="false" ht="15" hidden="false" customHeight="false" outlineLevel="0" collapsed="false">
      <c r="A8" s="7" t="s">
        <v>1086</v>
      </c>
      <c r="B8" s="5" t="s">
        <v>1087</v>
      </c>
      <c r="C8" s="5" t="s">
        <v>1079</v>
      </c>
      <c r="D8" s="10" t="n">
        <v>3</v>
      </c>
      <c r="E8" s="10" t="n">
        <v>3</v>
      </c>
      <c r="F8" s="12" t="n">
        <f aca="false">D8*E8</f>
        <v>9</v>
      </c>
      <c r="G8" s="5" t="s">
        <v>1088</v>
      </c>
      <c r="H8" s="5" t="s">
        <v>1081</v>
      </c>
      <c r="I8" s="8"/>
    </row>
    <row r="9" customFormat="false" ht="23.85" hidden="false" customHeight="false" outlineLevel="0" collapsed="false">
      <c r="A9" s="7" t="s">
        <v>1089</v>
      </c>
      <c r="B9" s="5" t="s">
        <v>1090</v>
      </c>
      <c r="C9" s="5" t="s">
        <v>1091</v>
      </c>
      <c r="D9" s="10" t="n">
        <v>2</v>
      </c>
      <c r="E9" s="10" t="n">
        <v>5</v>
      </c>
      <c r="F9" s="12" t="n">
        <f aca="false">D9*E9</f>
        <v>10</v>
      </c>
      <c r="G9" s="5" t="s">
        <v>1092</v>
      </c>
      <c r="H9" s="5" t="s">
        <v>1019</v>
      </c>
      <c r="I9" s="8"/>
    </row>
    <row r="10" customFormat="false" ht="23.85" hidden="false" customHeight="false" outlineLevel="0" collapsed="false">
      <c r="A10" s="7" t="s">
        <v>1093</v>
      </c>
      <c r="B10" s="5" t="s">
        <v>1094</v>
      </c>
      <c r="C10" s="5" t="s">
        <v>1095</v>
      </c>
      <c r="D10" s="10" t="n">
        <v>3</v>
      </c>
      <c r="E10" s="10" t="n">
        <v>5</v>
      </c>
      <c r="F10" s="12" t="n">
        <f aca="false">D10*E10</f>
        <v>15</v>
      </c>
      <c r="G10" s="5" t="s">
        <v>1096</v>
      </c>
      <c r="H10" s="5" t="s">
        <v>91</v>
      </c>
      <c r="I10" s="8"/>
    </row>
    <row r="11" customFormat="false" ht="23.85" hidden="false" customHeight="false" outlineLevel="0" collapsed="false">
      <c r="A11" s="7" t="s">
        <v>1097</v>
      </c>
      <c r="B11" s="5" t="s">
        <v>1098</v>
      </c>
      <c r="C11" s="5" t="s">
        <v>1074</v>
      </c>
      <c r="D11" s="10" t="n">
        <v>4</v>
      </c>
      <c r="E11" s="10" t="n">
        <v>2</v>
      </c>
      <c r="F11" s="12" t="n">
        <f aca="false">D11*E11</f>
        <v>8</v>
      </c>
      <c r="G11" s="5" t="s">
        <v>1099</v>
      </c>
      <c r="H11" s="5" t="s">
        <v>1100</v>
      </c>
      <c r="I11" s="8"/>
    </row>
    <row r="12" customFormat="false" ht="23.85" hidden="false" customHeight="false" outlineLevel="0" collapsed="false">
      <c r="A12" s="7" t="s">
        <v>1101</v>
      </c>
      <c r="B12" s="5" t="s">
        <v>1102</v>
      </c>
      <c r="C12" s="5" t="s">
        <v>1103</v>
      </c>
      <c r="D12" s="10" t="n">
        <v>3</v>
      </c>
      <c r="E12" s="10" t="n">
        <v>4</v>
      </c>
      <c r="F12" s="12" t="n">
        <f aca="false">D12*E12</f>
        <v>12</v>
      </c>
      <c r="G12" s="5" t="s">
        <v>1104</v>
      </c>
      <c r="H12" s="5" t="s">
        <v>1105</v>
      </c>
      <c r="I12" s="8"/>
    </row>
    <row r="13" customFormat="false" ht="23.85" hidden="false" customHeight="false" outlineLevel="0" collapsed="false">
      <c r="A13" s="7" t="s">
        <v>1106</v>
      </c>
      <c r="B13" s="5" t="s">
        <v>1107</v>
      </c>
      <c r="C13" s="5" t="s">
        <v>1108</v>
      </c>
      <c r="D13" s="10" t="n">
        <v>4</v>
      </c>
      <c r="E13" s="10" t="n">
        <v>4</v>
      </c>
      <c r="F13" s="12" t="n">
        <f aca="false">D13*E13</f>
        <v>16</v>
      </c>
      <c r="G13" s="5" t="s">
        <v>1109</v>
      </c>
      <c r="H13" s="5" t="s">
        <v>38</v>
      </c>
      <c r="I13" s="8"/>
    </row>
    <row r="15" customFormat="false" ht="15" hidden="false" customHeight="false" outlineLevel="0" collapsed="false">
      <c r="B15" s="2" t="s">
        <v>1110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2026-09-18T09:54:14Z</dcterms:created>
  <dc:creator>openpyxl</dc:creator>
  <dc:description/>
  <dc:language>en-US</dc:language>
  <cp:lastModifiedBy/>
  <dcterms:modified xsi:type="dcterms:W3CDTF">2026-09-18T09:54:14Z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